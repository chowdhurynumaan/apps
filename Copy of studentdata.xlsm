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namedSheetViews/namedSheetView1.xml" ContentType="application/vnd.ms-excel.namedsheetviews+xml"/>
  <Override PartName="/xl/drawings/drawing2.xml" ContentType="application/vnd.openxmlformats-officedocument.drawing+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https://d.docs.live.net/E73ABC7CE00B666B/Academic/2_Weekend School/Sep 2025 - May 2026/"/>
    </mc:Choice>
  </mc:AlternateContent>
  <xr:revisionPtr revIDLastSave="13409" documentId="10_ncr:8000_{A9D19207-7BC0-4D48-B865-4D5EE2561272}" xr6:coauthVersionLast="47" xr6:coauthVersionMax="47" xr10:uidLastSave="{49259416-812D-4777-B061-76C3F02ED896}"/>
  <bookViews>
    <workbookView xWindow="-120" yWindow="-120" windowWidth="29040" windowHeight="15720" tabRatio="838" activeTab="9" xr2:uid="{DAF51D73-084B-4EA3-9759-8D72F8F9D57B}"/>
  </bookViews>
  <sheets>
    <sheet name="tasks" sheetId="37" r:id="rId1"/>
    <sheet name="Detail1" sheetId="40" r:id="rId2"/>
    <sheet name="Detail2" sheetId="41" r:id="rId3"/>
    <sheet name="dashboard" sheetId="15" r:id="rId4"/>
    <sheet name="studentdata" sheetId="8" r:id="rId5"/>
    <sheet name="attendance" sheetId="32" r:id="rId6"/>
    <sheet name="Sheet1" sheetId="38" r:id="rId7"/>
    <sheet name="settings" sheetId="14" r:id="rId8"/>
    <sheet name="reportcard template" sheetId="23" r:id="rId9"/>
    <sheet name="Summer+Wknd complete letter" sheetId="42" r:id="rId10"/>
    <sheet name="letter template" sheetId="17" r:id="rId11"/>
    <sheet name="progress report" sheetId="28" r:id="rId12"/>
    <sheet name="progress report cover" sheetId="29" r:id="rId13"/>
    <sheet name="outputs" sheetId="16" r:id="rId14"/>
    <sheet name="Status Check" sheetId="35" r:id="rId15"/>
    <sheet name="Exam Scoreboard" sheetId="34" r:id="rId16"/>
    <sheet name="Certificate Print" sheetId="20" r:id="rId17"/>
    <sheet name="progress report (2)" sheetId="39" r:id="rId18"/>
  </sheets>
  <definedNames>
    <definedName name="_xlnm._FilterDatabase" localSheetId="4" hidden="1">studentdata!$M$323:$Z$323</definedName>
    <definedName name="_Hlk205918779" localSheetId="10">'letter template'!#REF!</definedName>
    <definedName name="_Hlk205918779" localSheetId="11">'progress report'!#REF!</definedName>
    <definedName name="_Hlk205918779" localSheetId="17">'progress report (2)'!#REF!</definedName>
    <definedName name="_Hlk205918779" localSheetId="12">'progress report cover'!#REF!</definedName>
    <definedName name="_Hlk205918779" localSheetId="9">'Summer+Wknd complete letter'!#REF!</definedName>
    <definedName name="_xleta.IF" hidden="1" xlm="1">#NAME?</definedName>
    <definedName name="_xleta.OR" hidden="1" xlm="1">#NAME?</definedName>
    <definedName name="_xlpm.allDates" hidden="1" xlm="1">#NAME?</definedName>
    <definedName name="_xlpm.cols" hidden="1" xlm="1">#NAME?</definedName>
    <definedName name="_xlpm.condition" hidden="1" xlm="1">#NAME?</definedName>
    <definedName name="_xlpm.criteriaArray" hidden="1" xlm="1">#NAME?</definedName>
    <definedName name="_xlpm.data" hidden="1" xlm="1">#NAME?</definedName>
    <definedName name="_xlpm.dayNum" hidden="1" xlm="1">#NAME?</definedName>
    <definedName name="_xlpm.endDate" hidden="1" xlm="1">#NAME?</definedName>
    <definedName name="_xlpm.fatherNameFilter" hidden="1" xlm="1">#NAME?</definedName>
    <definedName name="_xlpm.filteredData" hidden="1" xlm="1">#NAME?</definedName>
    <definedName name="_xlpm.filteredDates" hidden="1" xlm="1">#NAME?</definedName>
    <definedName name="_xlpm.headers" hidden="1" xlm="1">#NAME?</definedName>
    <definedName name="_xlpm.isWeekday" hidden="1" xlm="1">#NAME?</definedName>
    <definedName name="_xlpm.isWeekend" hidden="1" xlm="1">#NAME?</definedName>
    <definedName name="_xlpm.motherNameFilter" hidden="1" xlm="1">#NAME?</definedName>
    <definedName name="_xlpm.nameFilter" hidden="1" xlm="1">#NAME?</definedName>
    <definedName name="_xlpm.result" hidden="1" xlm="1">#NAME?</definedName>
    <definedName name="_xlpm.startDate" hidden="1" xlm="1">#NAME?</definedName>
    <definedName name="_xlnm.Print_Area" localSheetId="16">'Certificate Print'!$A:$E</definedName>
    <definedName name="_xlnm.Print_Area" localSheetId="10">'letter template'!$A$1:$AF$42</definedName>
    <definedName name="_xlnm.Print_Area" localSheetId="11">'progress report'!$A:$F</definedName>
    <definedName name="_xlnm.Print_Area" localSheetId="17">'progress report (2)'!$A$4:$AP$17</definedName>
    <definedName name="_xlnm.Print_Area" localSheetId="12">'progress report cover'!$A:$AF</definedName>
    <definedName name="_xlnm.Print_Area" localSheetId="8">'reportcard template'!$A$1:$P$30</definedName>
    <definedName name="_xlnm.Print_Area" localSheetId="9">'Summer+Wknd complete letter'!$A$1:$AF$42</definedName>
    <definedName name="_xlnm.Print_Titles" localSheetId="16">'Certificate Print'!$1:$3</definedName>
    <definedName name="_xlnm.Print_Titles" localSheetId="15">'Exam Scoreboard'!$1:$3</definedName>
    <definedName name="_xlnm.Print_Titles" localSheetId="11">'progress report'!$1:$4</definedName>
    <definedName name="_xlnm.Print_Titles" localSheetId="17">'progress report (2)'!$1:$4</definedName>
    <definedName name="_xlnm.Print_Titles" localSheetId="14">'Status Check'!$1:$4</definedName>
    <definedName name="_xlnm.Print_Titles" localSheetId="4">studentdata!$1:$1</definedName>
    <definedName name="Slicer_Column13">#REF!</definedName>
    <definedName name="Slicer_GENDER">#REF!</definedName>
    <definedName name="Slicer_Gender1">#N/A</definedName>
    <definedName name="Slicer_INT">#REF!</definedName>
    <definedName name="Slicer_LEVEL">#REF!</definedName>
    <definedName name="Slicer_Level1">#N/A</definedName>
  </definedNames>
  <calcPr calcId="191028"/>
  <pivotCaches>
    <pivotCache cacheId="9" r:id="rId1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0"/>
        <x14:slicerCache r:id="rId2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35" i="42" l="1" a="1"/>
  <c r="V35" i="42"/>
  <c r="V37" i="42" a="1"/>
  <c r="V37" i="42" s="1"/>
  <c r="F37" i="42" a="1"/>
  <c r="F37" i="42" s="1"/>
  <c r="V36" i="42" a="1"/>
  <c r="V36" i="42" s="1"/>
  <c r="F36" i="42" a="1"/>
  <c r="F36" i="42" s="1"/>
  <c r="AE35" i="42" a="1"/>
  <c r="AE35" i="42" s="1"/>
  <c r="AB35" i="42" a="1"/>
  <c r="AB35" i="42" s="1"/>
  <c r="Z35" i="42" a="1"/>
  <c r="Z35" i="42" s="1"/>
  <c r="D35" i="42" a="1"/>
  <c r="D35" i="42" s="1"/>
  <c r="W362" i="8"/>
  <c r="Y362" i="8"/>
  <c r="W361" i="8"/>
  <c r="Y361" i="8"/>
  <c r="W360" i="8"/>
  <c r="Y360" i="8"/>
  <c r="AB360" i="8" s="1"/>
  <c r="W359" i="8"/>
  <c r="Y359" i="8"/>
  <c r="W358" i="8"/>
  <c r="Y358" i="8"/>
  <c r="W357" i="8"/>
  <c r="Y357" i="8"/>
  <c r="W355" i="8"/>
  <c r="Y355" i="8"/>
  <c r="W356" i="8"/>
  <c r="Y356" i="8"/>
  <c r="W354" i="8"/>
  <c r="Y354" i="8"/>
  <c r="W353" i="8"/>
  <c r="Y353" i="8"/>
  <c r="V5" i="39" a="1"/>
  <c r="V5" i="39"/>
  <c r="A5" i="39" a="1"/>
  <c r="A5" i="39"/>
  <c r="Y333" i="8"/>
  <c r="Y331" i="8"/>
  <c r="Y327" i="8"/>
  <c r="Y323" i="8"/>
  <c r="Y298" i="8"/>
  <c r="Y290" i="8"/>
  <c r="Y306" i="8"/>
  <c r="Y322" i="8"/>
  <c r="Y324" i="8"/>
  <c r="Y329" i="8"/>
  <c r="Y325" i="8"/>
  <c r="Y297" i="8"/>
  <c r="Y273" i="8"/>
  <c r="Y272" i="8"/>
  <c r="Y274" i="8"/>
  <c r="Y271" i="8"/>
  <c r="Y269" i="8"/>
  <c r="Y268" i="8"/>
  <c r="Y260" i="8"/>
  <c r="Y261" i="8"/>
  <c r="Y259" i="8"/>
  <c r="Y253" i="8"/>
  <c r="Y252" i="8"/>
  <c r="Y249" i="8"/>
  <c r="Y247" i="8"/>
  <c r="Y243" i="8"/>
  <c r="Y244" i="8"/>
  <c r="Y242" i="8"/>
  <c r="Y241" i="8"/>
  <c r="Y240" i="8"/>
  <c r="Y235" i="8"/>
  <c r="Y234" i="8"/>
  <c r="Y232" i="8"/>
  <c r="Y230" i="8"/>
  <c r="Y229" i="8"/>
  <c r="Y228" i="8"/>
  <c r="Y227" i="8"/>
  <c r="Y226" i="8"/>
  <c r="Y225" i="8"/>
  <c r="Y222" i="8"/>
  <c r="Y220" i="8"/>
  <c r="Y221" i="8"/>
  <c r="Y214" i="8"/>
  <c r="Y216" i="8"/>
  <c r="Y215" i="8"/>
  <c r="Y210" i="8"/>
  <c r="Y203" i="8"/>
  <c r="Y204" i="8"/>
  <c r="Y202" i="8"/>
  <c r="Y201" i="8"/>
  <c r="Y197" i="8"/>
  <c r="Y196" i="8"/>
  <c r="Y195" i="8"/>
  <c r="Y186" i="8"/>
  <c r="Y187" i="8"/>
  <c r="Y184" i="8"/>
  <c r="Y185" i="8"/>
  <c r="Y183" i="8"/>
  <c r="Y182" i="8"/>
  <c r="Y181" i="8"/>
  <c r="Y180" i="8"/>
  <c r="Y173" i="8"/>
  <c r="Y174" i="8"/>
  <c r="Y171" i="8"/>
  <c r="Y172" i="8"/>
  <c r="Y170" i="8"/>
  <c r="Y168" i="8"/>
  <c r="Y167" i="8"/>
  <c r="Y166" i="8"/>
  <c r="Y163" i="8"/>
  <c r="Y156" i="8"/>
  <c r="Y154" i="8"/>
  <c r="Y151" i="8"/>
  <c r="Y150" i="8"/>
  <c r="Y149" i="8"/>
  <c r="Y148" i="8"/>
  <c r="Y147" i="8"/>
  <c r="Y140" i="8"/>
  <c r="Y139" i="8"/>
  <c r="Y138" i="8"/>
  <c r="Y134" i="8"/>
  <c r="Y135" i="8"/>
  <c r="Y133" i="8"/>
  <c r="Y131" i="8"/>
  <c r="Y126" i="8"/>
  <c r="Y122" i="8"/>
  <c r="Y123" i="8"/>
  <c r="Y118" i="8"/>
  <c r="Y114" i="8"/>
  <c r="Y115" i="8"/>
  <c r="Y112" i="8"/>
  <c r="Y107" i="8"/>
  <c r="Y106" i="8"/>
  <c r="Y102" i="8"/>
  <c r="Y103" i="8"/>
  <c r="Y99" i="8"/>
  <c r="Y96" i="8"/>
  <c r="Y95" i="8"/>
  <c r="Y98" i="8"/>
  <c r="Y97" i="8"/>
  <c r="Y94" i="8"/>
  <c r="Y93" i="8"/>
  <c r="Y91" i="8"/>
  <c r="Y88" i="8"/>
  <c r="Y87" i="8"/>
  <c r="Y81" i="8"/>
  <c r="Y80" i="8"/>
  <c r="Y79" i="8"/>
  <c r="Y78" i="8"/>
  <c r="Y77" i="8"/>
  <c r="Y76" i="8"/>
  <c r="Y74" i="8"/>
  <c r="Y71" i="8"/>
  <c r="Y59" i="8"/>
  <c r="Y58" i="8"/>
  <c r="Y55" i="8"/>
  <c r="Y52" i="8"/>
  <c r="Y51" i="8"/>
  <c r="Y50" i="8"/>
  <c r="Y49" i="8"/>
  <c r="Y48" i="8"/>
  <c r="Y43" i="8"/>
  <c r="Y24" i="8"/>
  <c r="Y23" i="8"/>
  <c r="Y17" i="8"/>
  <c r="Y10" i="8"/>
  <c r="Y9" i="8"/>
  <c r="Y8" i="8"/>
  <c r="Y7" i="8"/>
  <c r="Y283" i="8"/>
  <c r="Y302" i="8"/>
  <c r="Y319" i="8"/>
  <c r="Y289" i="8"/>
  <c r="Y320" i="8"/>
  <c r="Y21" i="8"/>
  <c r="Y35" i="8"/>
  <c r="Y144" i="8"/>
  <c r="Y239" i="8"/>
  <c r="Y143" i="8"/>
  <c r="Y70" i="8"/>
  <c r="Y62" i="8"/>
  <c r="Y142" i="8"/>
  <c r="Y100" i="8"/>
  <c r="Y61" i="8"/>
  <c r="Y275" i="8"/>
  <c r="Y193" i="8"/>
  <c r="Y194" i="8"/>
  <c r="Y30" i="8"/>
  <c r="Y32" i="8"/>
  <c r="Y334" i="8"/>
  <c r="Y335" i="8"/>
  <c r="Y349" i="8"/>
  <c r="Y351" i="8"/>
  <c r="Y350" i="8"/>
  <c r="Y345" i="8"/>
  <c r="Y344" i="8"/>
  <c r="Y337" i="8"/>
  <c r="Y342" i="8"/>
  <c r="Y341" i="8"/>
  <c r="Y338" i="8"/>
  <c r="Y339" i="8"/>
  <c r="Y188" i="8"/>
  <c r="Y336" i="8"/>
  <c r="Y332" i="8"/>
  <c r="Y292" i="8"/>
  <c r="Y314" i="8"/>
  <c r="Y301" i="8"/>
  <c r="Y316" i="8"/>
  <c r="Y315" i="8"/>
  <c r="Y311" i="8"/>
  <c r="Y145" i="8"/>
  <c r="Y278" i="8"/>
  <c r="Y279" i="8"/>
  <c r="Y307" i="8"/>
  <c r="Y309" i="8"/>
  <c r="Y146" i="8"/>
  <c r="Y308" i="8"/>
  <c r="Y284" i="8"/>
  <c r="Y282" i="8"/>
  <c r="Y295" i="8"/>
  <c r="Y236" i="8"/>
  <c r="Y286" i="8"/>
  <c r="Y300" i="8"/>
  <c r="Y296" i="8"/>
  <c r="Y276" i="8"/>
  <c r="Y304" i="8"/>
  <c r="Y303" i="8"/>
  <c r="Y294" i="8"/>
  <c r="Y340" i="8"/>
  <c r="Y291" i="8"/>
  <c r="Y111" i="8"/>
  <c r="Y288" i="8"/>
  <c r="Y299" i="8"/>
  <c r="Y267" i="8"/>
  <c r="Y266" i="8"/>
  <c r="Y265" i="8"/>
  <c r="Y264" i="8"/>
  <c r="Y263" i="8"/>
  <c r="Y262" i="8"/>
  <c r="Y257" i="8"/>
  <c r="Y256" i="8"/>
  <c r="Y255" i="8"/>
  <c r="Y254" i="8"/>
  <c r="Y250" i="8"/>
  <c r="Y251" i="8"/>
  <c r="Y246" i="8"/>
  <c r="Y280" i="8"/>
  <c r="Y4" i="8"/>
  <c r="Y238" i="8"/>
  <c r="Y237" i="8"/>
  <c r="Y233" i="8"/>
  <c r="Y231" i="8"/>
  <c r="Y224" i="8"/>
  <c r="Y223" i="8"/>
  <c r="Y219" i="8"/>
  <c r="Y218" i="8"/>
  <c r="Y217" i="8"/>
  <c r="Y213" i="8"/>
  <c r="Y212" i="8"/>
  <c r="Y211" i="8"/>
  <c r="Y209" i="8"/>
  <c r="Y207" i="8"/>
  <c r="Y208" i="8"/>
  <c r="Y205" i="8"/>
  <c r="Y132" i="8"/>
  <c r="Y200" i="8"/>
  <c r="Y199" i="8"/>
  <c r="Y198" i="8"/>
  <c r="Y192" i="8"/>
  <c r="Y190" i="8"/>
  <c r="Y191" i="8"/>
  <c r="Y189" i="8"/>
  <c r="Y343" i="8"/>
  <c r="Y178" i="8"/>
  <c r="Y177" i="8"/>
  <c r="Y175" i="8"/>
  <c r="Y164" i="8"/>
  <c r="Y165" i="8"/>
  <c r="Y161" i="8"/>
  <c r="Y162" i="8"/>
  <c r="Y160" i="8"/>
  <c r="Y158" i="8"/>
  <c r="Y287" i="8"/>
  <c r="Y159" i="8"/>
  <c r="Y155" i="8"/>
  <c r="Y64" i="8"/>
  <c r="Y305" i="8"/>
  <c r="Y137" i="8"/>
  <c r="Y136" i="8"/>
  <c r="Y14" i="8"/>
  <c r="Y130" i="8"/>
  <c r="Y129" i="8"/>
  <c r="Y128" i="8"/>
  <c r="Y127" i="8"/>
  <c r="Y125" i="8"/>
  <c r="Y124" i="8"/>
  <c r="Y120" i="8"/>
  <c r="Y121" i="8"/>
  <c r="Y119" i="8"/>
  <c r="Y117" i="8"/>
  <c r="Y116" i="8"/>
  <c r="Y285" i="8"/>
  <c r="Y113" i="8"/>
  <c r="Y157" i="8"/>
  <c r="Y110" i="8"/>
  <c r="Y109" i="8"/>
  <c r="Y108" i="8"/>
  <c r="Y105" i="8"/>
  <c r="Y104" i="8"/>
  <c r="Y101" i="8"/>
  <c r="Y92" i="8"/>
  <c r="Y89" i="8"/>
  <c r="Y90" i="8"/>
  <c r="Y85" i="8"/>
  <c r="Y12" i="8"/>
  <c r="Y84" i="8"/>
  <c r="Y83" i="8"/>
  <c r="Y82" i="8"/>
  <c r="Y75" i="8"/>
  <c r="Y72" i="8"/>
  <c r="Y73" i="8"/>
  <c r="Y69" i="8"/>
  <c r="Y68" i="8"/>
  <c r="Y67" i="8"/>
  <c r="Y66" i="8"/>
  <c r="Y176" i="8"/>
  <c r="Y65" i="8"/>
  <c r="Y63" i="8"/>
  <c r="Y60" i="8"/>
  <c r="Y57" i="8"/>
  <c r="Y56" i="8"/>
  <c r="Y53" i="8"/>
  <c r="Y54" i="8"/>
  <c r="Y281" i="8"/>
  <c r="Y46" i="8"/>
  <c r="Y47" i="8"/>
  <c r="Y44" i="8"/>
  <c r="Y45" i="8"/>
  <c r="Y42" i="8"/>
  <c r="Y41" i="8"/>
  <c r="Y40" i="8"/>
  <c r="Y39" i="8"/>
  <c r="Y38" i="8"/>
  <c r="Y245" i="8"/>
  <c r="Y36" i="8"/>
  <c r="Y37" i="8"/>
  <c r="Y33" i="8"/>
  <c r="Y34" i="8"/>
  <c r="Y31" i="8"/>
  <c r="Y29" i="8"/>
  <c r="Y28" i="8"/>
  <c r="Y27" i="8"/>
  <c r="Y26" i="8"/>
  <c r="Y25" i="8"/>
  <c r="Y22" i="8"/>
  <c r="Y19" i="8"/>
  <c r="Y20" i="8"/>
  <c r="Y18" i="8"/>
  <c r="Y16" i="8"/>
  <c r="Y13" i="8"/>
  <c r="Y15" i="8"/>
  <c r="Y206" i="8"/>
  <c r="Y86" i="8"/>
  <c r="Y11" i="8"/>
  <c r="Y6" i="8"/>
  <c r="Y5" i="8"/>
  <c r="Y310" i="8"/>
  <c r="Y277" i="8"/>
  <c r="Y348" i="8"/>
  <c r="Y318" i="8"/>
  <c r="Y346" i="8"/>
  <c r="Y317" i="8"/>
  <c r="Y347" i="8"/>
  <c r="Y352" i="8"/>
  <c r="Y258" i="8"/>
  <c r="Y179" i="8"/>
  <c r="Y141" i="8"/>
  <c r="Y153" i="8"/>
  <c r="Y2" i="8"/>
  <c r="Y313" i="8"/>
  <c r="Y169" i="8"/>
  <c r="Y312" i="8"/>
  <c r="Y270" i="8"/>
  <c r="Y321" i="8"/>
  <c r="Y248" i="8"/>
  <c r="Y326" i="8"/>
  <c r="Y152" i="8"/>
  <c r="Y328" i="8"/>
  <c r="Y330" i="8"/>
  <c r="Y3" i="8"/>
  <c r="W333" i="8"/>
  <c r="W331" i="8"/>
  <c r="W327" i="8"/>
  <c r="W323" i="8"/>
  <c r="W298" i="8"/>
  <c r="W290" i="8"/>
  <c r="W306" i="8"/>
  <c r="W322" i="8"/>
  <c r="W324" i="8"/>
  <c r="W329" i="8"/>
  <c r="W325" i="8"/>
  <c r="W297" i="8"/>
  <c r="W273" i="8"/>
  <c r="W272" i="8"/>
  <c r="W274" i="8"/>
  <c r="W271" i="8"/>
  <c r="W269" i="8"/>
  <c r="W268" i="8"/>
  <c r="W260" i="8"/>
  <c r="W261" i="8"/>
  <c r="W259" i="8"/>
  <c r="W253" i="8"/>
  <c r="W252" i="8"/>
  <c r="W249" i="8"/>
  <c r="W247" i="8"/>
  <c r="W243" i="8"/>
  <c r="W244" i="8"/>
  <c r="W242" i="8"/>
  <c r="W241" i="8"/>
  <c r="W240" i="8"/>
  <c r="W235" i="8"/>
  <c r="W234" i="8"/>
  <c r="W232" i="8"/>
  <c r="W230" i="8"/>
  <c r="W229" i="8"/>
  <c r="W228" i="8"/>
  <c r="W227" i="8"/>
  <c r="W226" i="8"/>
  <c r="W225" i="8"/>
  <c r="W222" i="8"/>
  <c r="W220" i="8"/>
  <c r="W221" i="8"/>
  <c r="W214" i="8"/>
  <c r="W216" i="8"/>
  <c r="W215" i="8"/>
  <c r="W210" i="8"/>
  <c r="W203" i="8"/>
  <c r="W204" i="8"/>
  <c r="W202" i="8"/>
  <c r="W201" i="8"/>
  <c r="W197" i="8"/>
  <c r="W196" i="8"/>
  <c r="W195" i="8"/>
  <c r="W186" i="8"/>
  <c r="W187" i="8"/>
  <c r="W184" i="8"/>
  <c r="W185" i="8"/>
  <c r="W183" i="8"/>
  <c r="W182" i="8"/>
  <c r="W181" i="8"/>
  <c r="W180" i="8"/>
  <c r="W173" i="8"/>
  <c r="W174" i="8"/>
  <c r="W171" i="8"/>
  <c r="W172" i="8"/>
  <c r="W170" i="8"/>
  <c r="W168" i="8"/>
  <c r="W167" i="8"/>
  <c r="W166" i="8"/>
  <c r="W163" i="8"/>
  <c r="W156" i="8"/>
  <c r="W154" i="8"/>
  <c r="W151" i="8"/>
  <c r="W150" i="8"/>
  <c r="W149" i="8"/>
  <c r="W148" i="8"/>
  <c r="W147" i="8"/>
  <c r="W140" i="8"/>
  <c r="W139" i="8"/>
  <c r="W138" i="8"/>
  <c r="W134" i="8"/>
  <c r="W135" i="8"/>
  <c r="W133" i="8"/>
  <c r="W131" i="8"/>
  <c r="W126" i="8"/>
  <c r="W122" i="8"/>
  <c r="W123" i="8"/>
  <c r="W118" i="8"/>
  <c r="W114" i="8"/>
  <c r="W115" i="8"/>
  <c r="W112" i="8"/>
  <c r="W107" i="8"/>
  <c r="W106" i="8"/>
  <c r="W102" i="8"/>
  <c r="W103" i="8"/>
  <c r="W99" i="8"/>
  <c r="W96" i="8"/>
  <c r="W95" i="8"/>
  <c r="W98" i="8"/>
  <c r="W97" i="8"/>
  <c r="W94" i="8"/>
  <c r="W93" i="8"/>
  <c r="W91" i="8"/>
  <c r="W88" i="8"/>
  <c r="W87" i="8"/>
  <c r="W81" i="8"/>
  <c r="W80" i="8"/>
  <c r="W79" i="8"/>
  <c r="W78" i="8"/>
  <c r="W77" i="8"/>
  <c r="W76" i="8"/>
  <c r="W74" i="8"/>
  <c r="W71" i="8"/>
  <c r="W59" i="8"/>
  <c r="W58" i="8"/>
  <c r="W52" i="8"/>
  <c r="W51" i="8"/>
  <c r="W50" i="8"/>
  <c r="W49" i="8"/>
  <c r="W48" i="8"/>
  <c r="W43" i="8"/>
  <c r="W24" i="8"/>
  <c r="W23" i="8"/>
  <c r="W17" i="8"/>
  <c r="W10" i="8"/>
  <c r="W9" i="8"/>
  <c r="W8" i="8"/>
  <c r="W7" i="8"/>
  <c r="W283" i="8"/>
  <c r="W302" i="8"/>
  <c r="W319" i="8"/>
  <c r="W289" i="8"/>
  <c r="W320" i="8"/>
  <c r="W21" i="8"/>
  <c r="W35" i="8"/>
  <c r="W144" i="8"/>
  <c r="W239" i="8"/>
  <c r="W143" i="8"/>
  <c r="W70" i="8"/>
  <c r="W62" i="8"/>
  <c r="W142" i="8"/>
  <c r="W100" i="8"/>
  <c r="W61" i="8"/>
  <c r="W275" i="8"/>
  <c r="W193" i="8"/>
  <c r="W194" i="8"/>
  <c r="W30" i="8"/>
  <c r="W32" i="8"/>
  <c r="W334" i="8"/>
  <c r="W335" i="8"/>
  <c r="W349" i="8"/>
  <c r="W351" i="8"/>
  <c r="W350" i="8"/>
  <c r="W345" i="8"/>
  <c r="W344" i="8"/>
  <c r="W337" i="8"/>
  <c r="W342" i="8"/>
  <c r="W341" i="8"/>
  <c r="W338" i="8"/>
  <c r="W339" i="8"/>
  <c r="W188" i="8"/>
  <c r="W336" i="8"/>
  <c r="W332" i="8"/>
  <c r="W292" i="8"/>
  <c r="W314" i="8"/>
  <c r="W301" i="8"/>
  <c r="W316" i="8"/>
  <c r="W315" i="8"/>
  <c r="W311" i="8"/>
  <c r="W145" i="8"/>
  <c r="W278" i="8"/>
  <c r="W279" i="8"/>
  <c r="W307" i="8"/>
  <c r="W309" i="8"/>
  <c r="W146" i="8"/>
  <c r="W308" i="8"/>
  <c r="W284" i="8"/>
  <c r="W282" i="8"/>
  <c r="W295" i="8"/>
  <c r="W236" i="8"/>
  <c r="W286" i="8"/>
  <c r="W300" i="8"/>
  <c r="W296" i="8"/>
  <c r="W276" i="8"/>
  <c r="W304" i="8"/>
  <c r="W303" i="8"/>
  <c r="W294" i="8"/>
  <c r="W340" i="8"/>
  <c r="W291" i="8"/>
  <c r="W111" i="8"/>
  <c r="W288" i="8"/>
  <c r="W299" i="8"/>
  <c r="W267" i="8"/>
  <c r="W266" i="8"/>
  <c r="W265" i="8"/>
  <c r="W264" i="8"/>
  <c r="W263" i="8"/>
  <c r="W262" i="8"/>
  <c r="W257" i="8"/>
  <c r="W256" i="8"/>
  <c r="W255" i="8"/>
  <c r="W254" i="8"/>
  <c r="W250" i="8"/>
  <c r="W251" i="8"/>
  <c r="W246" i="8"/>
  <c r="W280" i="8"/>
  <c r="W4" i="8"/>
  <c r="W238" i="8"/>
  <c r="W237" i="8"/>
  <c r="W233" i="8"/>
  <c r="W231" i="8"/>
  <c r="W224" i="8"/>
  <c r="W223" i="8"/>
  <c r="W219" i="8"/>
  <c r="W218" i="8"/>
  <c r="W217" i="8"/>
  <c r="W213" i="8"/>
  <c r="W212" i="8"/>
  <c r="W211" i="8"/>
  <c r="W209" i="8"/>
  <c r="W207" i="8"/>
  <c r="W208" i="8"/>
  <c r="W205" i="8"/>
  <c r="W132" i="8"/>
  <c r="W200" i="8"/>
  <c r="W199" i="8"/>
  <c r="W198" i="8"/>
  <c r="W192" i="8"/>
  <c r="W190" i="8"/>
  <c r="W191" i="8"/>
  <c r="W189" i="8"/>
  <c r="W343" i="8"/>
  <c r="W178" i="8"/>
  <c r="W177" i="8"/>
  <c r="W175" i="8"/>
  <c r="W164" i="8"/>
  <c r="W165" i="8"/>
  <c r="W161" i="8"/>
  <c r="W162" i="8"/>
  <c r="W160" i="8"/>
  <c r="W158" i="8"/>
  <c r="W287" i="8"/>
  <c r="W159" i="8"/>
  <c r="W155" i="8"/>
  <c r="W64" i="8"/>
  <c r="W305" i="8"/>
  <c r="W137" i="8"/>
  <c r="W136" i="8"/>
  <c r="W14" i="8"/>
  <c r="W130" i="8"/>
  <c r="W129" i="8"/>
  <c r="W128" i="8"/>
  <c r="W127" i="8"/>
  <c r="W125" i="8"/>
  <c r="W124" i="8"/>
  <c r="W120" i="8"/>
  <c r="W121" i="8"/>
  <c r="W119" i="8"/>
  <c r="W117" i="8"/>
  <c r="W116" i="8"/>
  <c r="W285" i="8"/>
  <c r="W113" i="8"/>
  <c r="W157" i="8"/>
  <c r="W110" i="8"/>
  <c r="W109" i="8"/>
  <c r="W108" i="8"/>
  <c r="W105" i="8"/>
  <c r="W104" i="8"/>
  <c r="W101" i="8"/>
  <c r="W92" i="8"/>
  <c r="W89" i="8"/>
  <c r="W90" i="8"/>
  <c r="W85" i="8"/>
  <c r="W12" i="8"/>
  <c r="W84" i="8"/>
  <c r="W83" i="8"/>
  <c r="W82" i="8"/>
  <c r="W75" i="8"/>
  <c r="W72" i="8"/>
  <c r="W73" i="8"/>
  <c r="W69" i="8"/>
  <c r="W68" i="8"/>
  <c r="W67" i="8"/>
  <c r="W66" i="8"/>
  <c r="W176" i="8"/>
  <c r="W65" i="8"/>
  <c r="W63" i="8"/>
  <c r="W60" i="8"/>
  <c r="W57" i="8"/>
  <c r="W56" i="8"/>
  <c r="W53" i="8"/>
  <c r="W54" i="8"/>
  <c r="W281" i="8"/>
  <c r="W46" i="8"/>
  <c r="W47" i="8"/>
  <c r="W44" i="8"/>
  <c r="W45" i="8"/>
  <c r="W42" i="8"/>
  <c r="W41" i="8"/>
  <c r="W40" i="8"/>
  <c r="W39" i="8"/>
  <c r="W38" i="8"/>
  <c r="W245" i="8"/>
  <c r="W36" i="8"/>
  <c r="W37" i="8"/>
  <c r="W33" i="8"/>
  <c r="W34" i="8"/>
  <c r="W31" i="8"/>
  <c r="W29" i="8"/>
  <c r="W28" i="8"/>
  <c r="W27" i="8"/>
  <c r="W26" i="8"/>
  <c r="W25" i="8"/>
  <c r="W22" i="8"/>
  <c r="W19" i="8"/>
  <c r="W20" i="8"/>
  <c r="W18" i="8"/>
  <c r="W16" i="8"/>
  <c r="W13" i="8"/>
  <c r="W15" i="8"/>
  <c r="W206" i="8"/>
  <c r="W86" i="8"/>
  <c r="W11" i="8"/>
  <c r="W6" i="8"/>
  <c r="W5" i="8"/>
  <c r="W310" i="8"/>
  <c r="W277" i="8"/>
  <c r="W348" i="8"/>
  <c r="W318" i="8"/>
  <c r="W346" i="8"/>
  <c r="W317" i="8"/>
  <c r="W347" i="8"/>
  <c r="W352" i="8"/>
  <c r="W258" i="8"/>
  <c r="W179" i="8"/>
  <c r="W141" i="8"/>
  <c r="W153" i="8"/>
  <c r="W2" i="8"/>
  <c r="W313" i="8"/>
  <c r="W169" i="8"/>
  <c r="W312" i="8"/>
  <c r="W270" i="8"/>
  <c r="W321" i="8"/>
  <c r="W248" i="8"/>
  <c r="W326" i="8"/>
  <c r="W152" i="8"/>
  <c r="W328" i="8"/>
  <c r="W330" i="8"/>
  <c r="W3" i="8"/>
  <c r="A5" i="28" a="1"/>
  <c r="A5" i="28" s="1"/>
  <c r="D2" i="35" a="1"/>
  <c r="D2" i="35" s="1"/>
  <c r="D2" i="34" a="1"/>
  <c r="D2" i="34" s="1"/>
  <c r="A11" i="23"/>
  <c r="A21" i="23"/>
  <c r="J2" i="23" a="1"/>
  <c r="J2" i="23" s="1"/>
  <c r="A4" i="20" a="1"/>
  <c r="A4" i="20" s="1"/>
  <c r="U28" i="29"/>
  <c r="L28" i="29"/>
  <c r="W27" i="29"/>
  <c r="Q27" i="29"/>
  <c r="K27" i="29"/>
  <c r="C23" i="29"/>
  <c r="V37" i="17" a="1"/>
  <c r="V37" i="17" s="1"/>
  <c r="F37" i="17" a="1"/>
  <c r="F37" i="17" s="1"/>
  <c r="V36" i="17" a="1"/>
  <c r="V36" i="17" s="1"/>
  <c r="F36" i="17" a="1"/>
  <c r="F36" i="17" s="1"/>
  <c r="AE35" i="17" a="1"/>
  <c r="AE35" i="17" s="1"/>
  <c r="AB35" i="17" a="1"/>
  <c r="AB35" i="17" s="1"/>
  <c r="Z35" i="17" a="1"/>
  <c r="Z35" i="17" s="1"/>
  <c r="V35" i="17"/>
  <c r="V35" i="17" a="1"/>
  <c r="D35" i="17" a="1"/>
  <c r="D35" i="17"/>
  <c r="Q22" i="23"/>
  <c r="P22" i="23" a="1"/>
  <c r="P22" i="23" s="1"/>
  <c r="Q12" i="23"/>
  <c r="P12" i="23" a="1"/>
  <c r="P12" i="23" s="1"/>
  <c r="J12" i="23" a="1"/>
  <c r="J12" i="23" s="1"/>
  <c r="P2" i="23" a="1"/>
  <c r="P2" i="23" s="1"/>
  <c r="N2" i="23" a="1"/>
  <c r="N2" i="23" s="1"/>
  <c r="M2" i="23" a="1"/>
  <c r="M2" i="23" s="1"/>
  <c r="B2" i="23" a="1"/>
  <c r="B2" i="23" s="1"/>
  <c r="F5" i="32" a="1"/>
  <c r="F5" i="32" s="1"/>
  <c r="H4" i="32"/>
  <c r="A4" i="32" a="1"/>
  <c r="A4" i="32" s="1"/>
  <c r="J22" i="23" a="1"/>
  <c r="J22" i="23" s="1"/>
  <c r="N22" i="23" a="1"/>
  <c r="N22" i="23" s="1"/>
  <c r="B22" i="23" a="1"/>
  <c r="B22" i="23" s="1"/>
  <c r="M22" i="23" a="1"/>
  <c r="M22" i="23" s="1"/>
  <c r="N12" i="23" a="1"/>
  <c r="N12" i="23" s="1"/>
  <c r="M12" i="23" a="1"/>
  <c r="M12" i="23" s="1"/>
  <c r="B12" i="23" a="1"/>
  <c r="B12" i="23" s="1"/>
  <c r="D4" i="34" a="1"/>
  <c r="D5" i="35" a="1"/>
  <c r="A6" i="32" a="1"/>
  <c r="C5" i="28" l="1" a="1"/>
  <c r="C5" i="28" s="1"/>
  <c r="E5" i="28" a="1"/>
  <c r="E5" i="28" s="1"/>
  <c r="AB362" i="8"/>
  <c r="AB358" i="8"/>
  <c r="AB361" i="8"/>
  <c r="AB359" i="8"/>
  <c r="AB330" i="8"/>
  <c r="AB281" i="8"/>
  <c r="AB109" i="8"/>
  <c r="AB165" i="8"/>
  <c r="AB237" i="8"/>
  <c r="AB350" i="8"/>
  <c r="AB10" i="8"/>
  <c r="AB95" i="8"/>
  <c r="AB163" i="8"/>
  <c r="AB221" i="8"/>
  <c r="AB272" i="8"/>
  <c r="AB355" i="8"/>
  <c r="AB316" i="8"/>
  <c r="AB352" i="8"/>
  <c r="AB33" i="8"/>
  <c r="AB75" i="8"/>
  <c r="AB130" i="8"/>
  <c r="AB208" i="8"/>
  <c r="AB266" i="8"/>
  <c r="AB301" i="8"/>
  <c r="AB143" i="8"/>
  <c r="AB76" i="8"/>
  <c r="AB133" i="8"/>
  <c r="AB187" i="8"/>
  <c r="AB244" i="8"/>
  <c r="AB62" i="8"/>
  <c r="AB126" i="8"/>
  <c r="AB123" i="8"/>
  <c r="AB346" i="8"/>
  <c r="AB318" i="8"/>
  <c r="AB38" i="8"/>
  <c r="AB305" i="8"/>
  <c r="AB212" i="8"/>
  <c r="AB336" i="8"/>
  <c r="AB21" i="8"/>
  <c r="AB80" i="8"/>
  <c r="AB185" i="8"/>
  <c r="AB139" i="8"/>
  <c r="AB252" i="8"/>
  <c r="AB348" i="8"/>
  <c r="AB39" i="8"/>
  <c r="AB85" i="8"/>
  <c r="AB213" i="8"/>
  <c r="AB188" i="8"/>
  <c r="AB81" i="8"/>
  <c r="AB140" i="8"/>
  <c r="AB201" i="8"/>
  <c r="AB253" i="8"/>
  <c r="AB40" i="8"/>
  <c r="AB90" i="8"/>
  <c r="AB155" i="8"/>
  <c r="AB217" i="8"/>
  <c r="AB340" i="8"/>
  <c r="AB339" i="8"/>
  <c r="AB289" i="8"/>
  <c r="AB87" i="8"/>
  <c r="AB147" i="8"/>
  <c r="AB202" i="8"/>
  <c r="AB259" i="8"/>
  <c r="AB277" i="8"/>
  <c r="AB41" i="8"/>
  <c r="AB89" i="8"/>
  <c r="AB159" i="8"/>
  <c r="AB218" i="8"/>
  <c r="AB294" i="8"/>
  <c r="AB338" i="8"/>
  <c r="AB319" i="8"/>
  <c r="AB88" i="8"/>
  <c r="AB148" i="8"/>
  <c r="AB204" i="8"/>
  <c r="AB261" i="8"/>
  <c r="AB310" i="8"/>
  <c r="AB42" i="8"/>
  <c r="AB92" i="8"/>
  <c r="AB287" i="8"/>
  <c r="AB219" i="8"/>
  <c r="AB303" i="8"/>
  <c r="AB341" i="8"/>
  <c r="AB302" i="8"/>
  <c r="AB91" i="8"/>
  <c r="AB149" i="8"/>
  <c r="AB203" i="8"/>
  <c r="AB260" i="8"/>
  <c r="AB5" i="8"/>
  <c r="AB45" i="8"/>
  <c r="AB101" i="8"/>
  <c r="AB158" i="8"/>
  <c r="AB223" i="8"/>
  <c r="AB304" i="8"/>
  <c r="AB342" i="8"/>
  <c r="AB283" i="8"/>
  <c r="AB93" i="8"/>
  <c r="AB150" i="8"/>
  <c r="AB210" i="8"/>
  <c r="AB268" i="8"/>
  <c r="AB6" i="8"/>
  <c r="AB44" i="8"/>
  <c r="AB104" i="8"/>
  <c r="AB160" i="8"/>
  <c r="AB224" i="8"/>
  <c r="AB276" i="8"/>
  <c r="AB337" i="8"/>
  <c r="AB7" i="8"/>
  <c r="AB94" i="8"/>
  <c r="AB151" i="8"/>
  <c r="AB215" i="8"/>
  <c r="AB269" i="8"/>
  <c r="AB11" i="8"/>
  <c r="AB47" i="8"/>
  <c r="AB105" i="8"/>
  <c r="AB162" i="8"/>
  <c r="AB231" i="8"/>
  <c r="AB296" i="8"/>
  <c r="AB344" i="8"/>
  <c r="AB8" i="8"/>
  <c r="AB97" i="8"/>
  <c r="AB154" i="8"/>
  <c r="AB216" i="8"/>
  <c r="AB271" i="8"/>
  <c r="AB315" i="8"/>
  <c r="AB131" i="8"/>
  <c r="AB69" i="8"/>
  <c r="AB31" i="8"/>
  <c r="AB132" i="8"/>
  <c r="AB264" i="8"/>
  <c r="AB241" i="8"/>
  <c r="AB333" i="8"/>
  <c r="AB55" i="8"/>
  <c r="AB118" i="8"/>
  <c r="B19" i="23" a="1"/>
  <c r="B19" i="23" s="1"/>
  <c r="AB225" i="8"/>
  <c r="AB194" i="8"/>
  <c r="AB298" i="8"/>
  <c r="AB24" i="8"/>
  <c r="AB313" i="8"/>
  <c r="AB327" i="8"/>
  <c r="AB331" i="8"/>
  <c r="AB73" i="8"/>
  <c r="AB258" i="8"/>
  <c r="AB129" i="8"/>
  <c r="AB357" i="8"/>
  <c r="AB121" i="8"/>
  <c r="AB290" i="8"/>
  <c r="AB279" i="8"/>
  <c r="AB67" i="8"/>
  <c r="AB61" i="8"/>
  <c r="AB181" i="8"/>
  <c r="AB234" i="8"/>
  <c r="AB323" i="8"/>
  <c r="AB3" i="8"/>
  <c r="AB86" i="8"/>
  <c r="AB46" i="8"/>
  <c r="AB108" i="8"/>
  <c r="AB161" i="8"/>
  <c r="AB233" i="8"/>
  <c r="AB300" i="8"/>
  <c r="AB345" i="8"/>
  <c r="AB9" i="8"/>
  <c r="AB98" i="8"/>
  <c r="AB156" i="8"/>
  <c r="AB214" i="8"/>
  <c r="AB274" i="8"/>
  <c r="AB29" i="8"/>
  <c r="AB200" i="8"/>
  <c r="AB142" i="8"/>
  <c r="AB34" i="8"/>
  <c r="AB72" i="8"/>
  <c r="AB205" i="8"/>
  <c r="AB265" i="8"/>
  <c r="AB70" i="8"/>
  <c r="AB74" i="8"/>
  <c r="AB184" i="8"/>
  <c r="AB242" i="8"/>
  <c r="B9" i="23" a="1"/>
  <c r="B9" i="23" s="1"/>
  <c r="AB211" i="8"/>
  <c r="AB288" i="8"/>
  <c r="AB332" i="8"/>
  <c r="AB35" i="8"/>
  <c r="AB79" i="8"/>
  <c r="AB138" i="8"/>
  <c r="AB196" i="8"/>
  <c r="AB249" i="8"/>
  <c r="AB25" i="8"/>
  <c r="AB100" i="8"/>
  <c r="AB58" i="8"/>
  <c r="AB57" i="8"/>
  <c r="AB43" i="8"/>
  <c r="AB226" i="8"/>
  <c r="AB326" i="8"/>
  <c r="AB16" i="8"/>
  <c r="AB56" i="8"/>
  <c r="AB113" i="8"/>
  <c r="AB177" i="8"/>
  <c r="AB280" i="8"/>
  <c r="AB282" i="8"/>
  <c r="AB335" i="8"/>
  <c r="AB103" i="8"/>
  <c r="AB168" i="8"/>
  <c r="AB325" i="8"/>
  <c r="AB347" i="8"/>
  <c r="AB37" i="8"/>
  <c r="AB82" i="8"/>
  <c r="AB14" i="8"/>
  <c r="AB207" i="8"/>
  <c r="AB267" i="8"/>
  <c r="AB314" i="8"/>
  <c r="AB239" i="8"/>
  <c r="AB77" i="8"/>
  <c r="AB135" i="8"/>
  <c r="AB186" i="8"/>
  <c r="AB243" i="8"/>
  <c r="AB328" i="8"/>
  <c r="AB15" i="8"/>
  <c r="AB54" i="8"/>
  <c r="AB110" i="8"/>
  <c r="AB238" i="8"/>
  <c r="AB17" i="8"/>
  <c r="AB96" i="8"/>
  <c r="AB166" i="8"/>
  <c r="AB220" i="8"/>
  <c r="AB273" i="8"/>
  <c r="AB317" i="8"/>
  <c r="AB36" i="8"/>
  <c r="AB83" i="8"/>
  <c r="AB136" i="8"/>
  <c r="AB209" i="8"/>
  <c r="AB299" i="8"/>
  <c r="AB292" i="8"/>
  <c r="AB144" i="8"/>
  <c r="AB78" i="8"/>
  <c r="AB134" i="8"/>
  <c r="AB195" i="8"/>
  <c r="AB247" i="8"/>
  <c r="AB152" i="8"/>
  <c r="AB13" i="8"/>
  <c r="AB53" i="8"/>
  <c r="AB157" i="8"/>
  <c r="AB175" i="8"/>
  <c r="AB295" i="8"/>
  <c r="AB349" i="8"/>
  <c r="AB23" i="8"/>
  <c r="AB99" i="8"/>
  <c r="AB167" i="8"/>
  <c r="AB222" i="8"/>
  <c r="AB297" i="8"/>
  <c r="AB321" i="8"/>
  <c r="AB20" i="8"/>
  <c r="AB60" i="8"/>
  <c r="AB116" i="8"/>
  <c r="AB343" i="8"/>
  <c r="AB251" i="8"/>
  <c r="AB308" i="8"/>
  <c r="AB48" i="8"/>
  <c r="AB270" i="8"/>
  <c r="AB19" i="8"/>
  <c r="AB63" i="8"/>
  <c r="AB117" i="8"/>
  <c r="AB189" i="8"/>
  <c r="AB250" i="8"/>
  <c r="AB49" i="8"/>
  <c r="AB312" i="8"/>
  <c r="AB22" i="8"/>
  <c r="AB65" i="8"/>
  <c r="AB119" i="8"/>
  <c r="AB191" i="8"/>
  <c r="AB254" i="8"/>
  <c r="AB309" i="8"/>
  <c r="AB50" i="8"/>
  <c r="AB112" i="8"/>
  <c r="AB174" i="8"/>
  <c r="AB229" i="8"/>
  <c r="AB306" i="8"/>
  <c r="AB169" i="8"/>
  <c r="AB176" i="8"/>
  <c r="AB190" i="8"/>
  <c r="AB255" i="8"/>
  <c r="AB307" i="8"/>
  <c r="AB193" i="8"/>
  <c r="AB51" i="8"/>
  <c r="AB115" i="8"/>
  <c r="AB173" i="8"/>
  <c r="AB230" i="8"/>
  <c r="AB26" i="8"/>
  <c r="AB66" i="8"/>
  <c r="AB120" i="8"/>
  <c r="AB192" i="8"/>
  <c r="AB256" i="8"/>
  <c r="AB275" i="8"/>
  <c r="AB52" i="8"/>
  <c r="AB114" i="8"/>
  <c r="AB180" i="8"/>
  <c r="AB232" i="8"/>
  <c r="AB2" i="8"/>
  <c r="AB27" i="8"/>
  <c r="AB124" i="8"/>
  <c r="AB198" i="8"/>
  <c r="AB257" i="8"/>
  <c r="AB278" i="8"/>
  <c r="AB153" i="8"/>
  <c r="AB28" i="8"/>
  <c r="AB125" i="8"/>
  <c r="AB199" i="8"/>
  <c r="AB235" i="8"/>
  <c r="AB263" i="8"/>
  <c r="AB59" i="8"/>
  <c r="AB128" i="8"/>
  <c r="AB71" i="8"/>
  <c r="B29" i="23" a="1"/>
  <c r="B29" i="23" s="1"/>
  <c r="AB179" i="8"/>
  <c r="AB248" i="8"/>
  <c r="AB178" i="8"/>
  <c r="AB284" i="8"/>
  <c r="AB102" i="8"/>
  <c r="AB329" i="8"/>
  <c r="AB172" i="8"/>
  <c r="AB324" i="8"/>
  <c r="AB245" i="8"/>
  <c r="AB84" i="8"/>
  <c r="AB146" i="8"/>
  <c r="AB30" i="8"/>
  <c r="AB107" i="8"/>
  <c r="AB171" i="8"/>
  <c r="AB228" i="8"/>
  <c r="AB322" i="8"/>
  <c r="AB12" i="8"/>
  <c r="AB197" i="8"/>
  <c r="AB64" i="8"/>
  <c r="AB291" i="8"/>
  <c r="AB356" i="8"/>
  <c r="AB262" i="8"/>
  <c r="AB18" i="8"/>
  <c r="AB285" i="8"/>
  <c r="AB246" i="8"/>
  <c r="AB334" i="8"/>
  <c r="AB170" i="8"/>
  <c r="AB32" i="8"/>
  <c r="AB106" i="8"/>
  <c r="AB227" i="8"/>
  <c r="AB137" i="8"/>
  <c r="AB320" i="8"/>
  <c r="AB354" i="8"/>
  <c r="AB145" i="8"/>
  <c r="AB182" i="8"/>
  <c r="AB4" i="8"/>
  <c r="B3" i="15"/>
  <c r="B2" i="15"/>
  <c r="B4" i="15"/>
  <c r="AB206" i="8"/>
  <c r="AB286" i="8"/>
  <c r="AB164" i="8"/>
  <c r="AB236" i="8"/>
  <c r="AB351" i="8"/>
  <c r="AG23" i="29" s="1" a="1"/>
  <c r="AG23" i="29" s="1"/>
  <c r="B5" i="15"/>
  <c r="AB353" i="8"/>
  <c r="AB111" i="8"/>
  <c r="AB68" i="8"/>
  <c r="AB141" i="8"/>
  <c r="AB311" i="8"/>
  <c r="AB122" i="8"/>
  <c r="AB183" i="8"/>
  <c r="AB127" i="8"/>
  <c r="AB240" i="8"/>
  <c r="B1" i="15"/>
  <c r="D5" i="35"/>
  <c r="A6" i="32"/>
  <c r="D4" i="34"/>
  <c r="B6" i="15" l="1"/>
  <c r="B8"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Islamic center Of Warren</author>
  </authors>
  <commentList>
    <comment ref="X1" authorId="0" shapeId="0" xr:uid="{2CBFE928-2DDB-4D51-9700-60F46396225B}">
      <text>
        <r>
          <rPr>
            <b/>
            <sz val="9"/>
            <color indexed="81"/>
            <rFont val="Tahoma"/>
            <family val="2"/>
          </rPr>
          <t>Islamic center Of Warren:</t>
        </r>
        <r>
          <rPr>
            <sz val="9"/>
            <color indexed="81"/>
            <rFont val="Tahoma"/>
            <family val="2"/>
          </rPr>
          <t xml:space="preserve">
Always write here: 
"Weekend 2025" or "Evening 2025" etc
"department year"
</t>
        </r>
      </text>
    </comment>
    <comment ref="AB1" authorId="0" shapeId="0" xr:uid="{F80D94D8-44A5-4238-AD3B-07F94B6D4515}">
      <text>
        <r>
          <rPr>
            <b/>
            <sz val="9"/>
            <color indexed="81"/>
            <rFont val="Tahoma"/>
            <family val="2"/>
          </rPr>
          <t>Islamic center Of Warren:</t>
        </r>
        <r>
          <rPr>
            <sz val="9"/>
            <color indexed="81"/>
            <rFont val="Tahoma"/>
            <family val="2"/>
          </rPr>
          <t xml:space="preserve">
Always write here: 
"Weekend 2025" or "Evening 2025" etc
"department year"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<sst xmlns="http://schemas.openxmlformats.org/spreadsheetml/2006/main" count="4587" uniqueCount="1347">
  <si>
    <t>Every month</t>
  </si>
  <si>
    <t>check if new students were added mnually</t>
  </si>
  <si>
    <t>if any student were transferred</t>
  </si>
  <si>
    <t>if any student stopped coming</t>
  </si>
  <si>
    <t>print monthly attendace sheet</t>
  </si>
  <si>
    <t>Daily</t>
  </si>
  <si>
    <t>If any new student was enrolled</t>
  </si>
  <si>
    <t>For every exam</t>
  </si>
  <si>
    <t>Change header notes</t>
  </si>
  <si>
    <t>print for each class</t>
  </si>
  <si>
    <t>When new semester</t>
  </si>
  <si>
    <t>add 2 columns</t>
  </si>
  <si>
    <t>Weekend 2025 Enrolled</t>
  </si>
  <si>
    <t>Weekend 2025</t>
  </si>
  <si>
    <t>and during exam, sort it throguht he enrolled colun</t>
  </si>
  <si>
    <t xml:space="preserve">Details for Count of SN - Evening 2025 Enrolled: Yes, Weekend 2025 Enrolled: </t>
  </si>
  <si>
    <t>SN</t>
  </si>
  <si>
    <t>Name</t>
  </si>
  <si>
    <t>RG</t>
  </si>
  <si>
    <t>Father Name</t>
  </si>
  <si>
    <t>Father Phone</t>
  </si>
  <si>
    <t>Mother Name</t>
  </si>
  <si>
    <t>Mother Phone</t>
  </si>
  <si>
    <t>DOB</t>
  </si>
  <si>
    <t>Group</t>
  </si>
  <si>
    <t>Address</t>
  </si>
  <si>
    <t>City</t>
  </si>
  <si>
    <t>State</t>
  </si>
  <si>
    <t>Zip Code</t>
  </si>
  <si>
    <t>Email ID (Parent)</t>
  </si>
  <si>
    <t>Emergency Contact Name</t>
  </si>
  <si>
    <t>Emergency Contact Relationship</t>
  </si>
  <si>
    <t>Emergency Contact Home Phone</t>
  </si>
  <si>
    <t>Emergency Contact Cell Phone</t>
  </si>
  <si>
    <t>Emergency Contact Email</t>
  </si>
  <si>
    <t>Gender</t>
  </si>
  <si>
    <t>Grade</t>
  </si>
  <si>
    <t>Level</t>
  </si>
  <si>
    <t>Evening 2025 Enrolled</t>
  </si>
  <si>
    <t>Evening 2025</t>
  </si>
  <si>
    <t>Concerned</t>
  </si>
  <si>
    <t>Session Enrollment</t>
  </si>
  <si>
    <t>Fardeen Ahmed</t>
  </si>
  <si>
    <t>Khalid Ahmed</t>
  </si>
  <si>
    <t>Mahbuba Mily</t>
  </si>
  <si>
    <t>Qaida</t>
  </si>
  <si>
    <t>M</t>
  </si>
  <si>
    <t>PRE-K</t>
  </si>
  <si>
    <t>1a</t>
  </si>
  <si>
    <t/>
  </si>
  <si>
    <t>Yes</t>
  </si>
  <si>
    <t>Adil Ahmed</t>
  </si>
  <si>
    <t>4th Grade</t>
  </si>
  <si>
    <t xml:space="preserve">NUZHA SHOHID </t>
  </si>
  <si>
    <t>JAKIE SHOHID</t>
  </si>
  <si>
    <t>FARJANA RAHMAN</t>
  </si>
  <si>
    <t>F</t>
  </si>
  <si>
    <t>1st Grade</t>
  </si>
  <si>
    <t>NABILA SULTANA</t>
  </si>
  <si>
    <t>MOHD. ABDUL EBAD</t>
  </si>
  <si>
    <t>MST. SHEULY BEGOM</t>
  </si>
  <si>
    <t>7th Grade</t>
  </si>
  <si>
    <t>Khadija Jannat</t>
  </si>
  <si>
    <t>Reazul Karim</t>
  </si>
  <si>
    <t>Saibah Miah</t>
  </si>
  <si>
    <t>Walid Miah</t>
  </si>
  <si>
    <t>Nahida Ali</t>
  </si>
  <si>
    <t>27316 Virginia Dr</t>
  </si>
  <si>
    <t>Warren</t>
  </si>
  <si>
    <t>MI</t>
  </si>
  <si>
    <t>Israa Ahmed</t>
  </si>
  <si>
    <t>Zakir Ahmed</t>
  </si>
  <si>
    <t>Sharmin Ahmed</t>
  </si>
  <si>
    <t>3555 Chase Dr</t>
  </si>
  <si>
    <t>Jubel Ahmed</t>
  </si>
  <si>
    <t>Uncle</t>
  </si>
  <si>
    <t>Adiba Afrin Zahra</t>
  </si>
  <si>
    <t>Safai Ahmed</t>
  </si>
  <si>
    <t>Tahrim Liza</t>
  </si>
  <si>
    <t>23828 Ada Avenuew</t>
  </si>
  <si>
    <t>3rd Grade</t>
  </si>
  <si>
    <t>Alena Simi</t>
  </si>
  <si>
    <t>M Nazim Uddin</t>
  </si>
  <si>
    <t>Yeasmin Begom</t>
  </si>
  <si>
    <t>29506 Tropea Dr</t>
  </si>
  <si>
    <t>5th Grade</t>
  </si>
  <si>
    <t>Ikraam Kashim Ahmed</t>
  </si>
  <si>
    <t xml:space="preserve">SHOFIE SHOHID </t>
  </si>
  <si>
    <t xml:space="preserve">JAKIE SHOHID </t>
  </si>
  <si>
    <t>Siyam Hussen</t>
  </si>
  <si>
    <t>Mamdud Hussen</t>
  </si>
  <si>
    <t>Fatima Hussen</t>
  </si>
  <si>
    <t>33044 Fuhrmann Dr</t>
  </si>
  <si>
    <t>Sterling Heights</t>
  </si>
  <si>
    <t>mamdud2013@gmail.com</t>
  </si>
  <si>
    <t>2nd Grade</t>
  </si>
  <si>
    <t>Nawaz Hussain Chowdhury</t>
  </si>
  <si>
    <t>Jahir Hussain Chowdhury</t>
  </si>
  <si>
    <t>Shamira Aktar Chowdhury</t>
  </si>
  <si>
    <t>11032 Lillian Ave</t>
  </si>
  <si>
    <t>Sayema Khatun</t>
  </si>
  <si>
    <t>Aunty</t>
  </si>
  <si>
    <t>Mahrajun Nur</t>
  </si>
  <si>
    <t>Mohammed Nurul Huda</t>
  </si>
  <si>
    <t>Nazia Maqsud Chowdhury</t>
  </si>
  <si>
    <t>25506 Patricia Ave</t>
  </si>
  <si>
    <t>nurulhuda78@gmail.com</t>
  </si>
  <si>
    <t>Mohammed Joynu, Huda</t>
  </si>
  <si>
    <t>+15868067128</t>
  </si>
  <si>
    <t>8th Grade</t>
  </si>
  <si>
    <t>Kazi Yasin</t>
  </si>
  <si>
    <t>Kazi Muqtadin Ahmed</t>
  </si>
  <si>
    <t>At Tanha Lupa</t>
  </si>
  <si>
    <t>Sifat Hussain</t>
  </si>
  <si>
    <t>Ayaan Rahman</t>
  </si>
  <si>
    <t>Rah Rahman</t>
  </si>
  <si>
    <t>Fhateha Sumi</t>
  </si>
  <si>
    <t>244972 Hill Ave</t>
  </si>
  <si>
    <t>Details for Count of SN - Evening 2025 Enrolled: Yes, Weekend 2025 Enrolled: Yes</t>
  </si>
  <si>
    <t>Faiza Shamsuddin</t>
  </si>
  <si>
    <t>Neaz Shamsuddin</t>
  </si>
  <si>
    <t>2406 Virginia Dr</t>
  </si>
  <si>
    <t>neazsn@gmail.com</t>
  </si>
  <si>
    <t>Rubaiba Bint Ali</t>
  </si>
  <si>
    <t>Mohd Ali Husen</t>
  </si>
  <si>
    <t>Rifat Sultana</t>
  </si>
  <si>
    <t>4825 E 10 Mile Rd APT 228</t>
  </si>
  <si>
    <t>Maira Islam</t>
  </si>
  <si>
    <t>Rashedul Islam</t>
  </si>
  <si>
    <t>Sumaya Bhoiyan</t>
  </si>
  <si>
    <t>30606 aUSTIN dR</t>
  </si>
  <si>
    <t>sumayabhoiyan@icloud.om</t>
  </si>
  <si>
    <t>Humayra Mehrren</t>
  </si>
  <si>
    <t>Mohammad Hifzur Rahman</t>
  </si>
  <si>
    <t>Sumaya Shah Suma</t>
  </si>
  <si>
    <t>24483 Masch Ave</t>
  </si>
  <si>
    <t>rahmanm64@yahoo.com</t>
  </si>
  <si>
    <t>1b</t>
  </si>
  <si>
    <t>Ameerah Alisha</t>
  </si>
  <si>
    <t>Anisur Rahman</t>
  </si>
  <si>
    <t>Aynum Chowdhury</t>
  </si>
  <si>
    <t>24233 Maseh Ave</t>
  </si>
  <si>
    <t>1c</t>
  </si>
  <si>
    <t>Hafiza Munira</t>
  </si>
  <si>
    <t>Tanzila Abdullah</t>
  </si>
  <si>
    <t>Ruhul Abdullah</t>
  </si>
  <si>
    <t>Tahera Boroiaskar</t>
  </si>
  <si>
    <t>26146 Warner Ave</t>
  </si>
  <si>
    <t>Tawfique Hamid Khan</t>
  </si>
  <si>
    <t>Hamid Khan</t>
  </si>
  <si>
    <t>Fahmida Khanom</t>
  </si>
  <si>
    <t>26612 Karen Ave</t>
  </si>
  <si>
    <t>Iffath Ahmed</t>
  </si>
  <si>
    <t>Kabir Ahmed</t>
  </si>
  <si>
    <t>Forhana Ahmed</t>
  </si>
  <si>
    <t>29456 Orvylle</t>
  </si>
  <si>
    <t>6th Grade</t>
  </si>
  <si>
    <t>Tasdique Hamid Khan</t>
  </si>
  <si>
    <t>Sayhan Husen</t>
  </si>
  <si>
    <t>Aryan Samad</t>
  </si>
  <si>
    <t>Abdus Samad</t>
  </si>
  <si>
    <t>Rifa Suhana</t>
  </si>
  <si>
    <t>Hifz</t>
  </si>
  <si>
    <t>24232 Loretta Ave</t>
  </si>
  <si>
    <t>Samia Samad</t>
  </si>
  <si>
    <t>Sister</t>
  </si>
  <si>
    <t>Moeez Usman</t>
  </si>
  <si>
    <t>Usman Ahmed</t>
  </si>
  <si>
    <t>Khadija Kousar</t>
  </si>
  <si>
    <t>3726 Norbert Ave</t>
  </si>
  <si>
    <t>Father</t>
  </si>
  <si>
    <t>Kindergarten</t>
  </si>
  <si>
    <t>Tasnim Choudhury</t>
  </si>
  <si>
    <t>Muhim Choudhury</t>
  </si>
  <si>
    <t>Azima Parvin</t>
  </si>
  <si>
    <t>26728 Wexford DR</t>
  </si>
  <si>
    <t>Nahima Choudhury</t>
  </si>
  <si>
    <t>Aunt</t>
  </si>
  <si>
    <t>Muhammad Tawaf Ahmed</t>
  </si>
  <si>
    <t>Simon Ahmed</t>
  </si>
  <si>
    <t>Yasmin Begum</t>
  </si>
  <si>
    <t>Habibur Rahman</t>
  </si>
  <si>
    <t>Maaz Usman</t>
  </si>
  <si>
    <t>Evening Only</t>
  </si>
  <si>
    <t>Evening all</t>
  </si>
  <si>
    <t>Evening + Weekend</t>
  </si>
  <si>
    <t>Status</t>
  </si>
  <si>
    <t>Count of SN</t>
  </si>
  <si>
    <t>Column Labels</t>
  </si>
  <si>
    <t>Weekend Only</t>
  </si>
  <si>
    <t>10th Grade</t>
  </si>
  <si>
    <t xml:space="preserve"> Total</t>
  </si>
  <si>
    <t>Yes Total</t>
  </si>
  <si>
    <t>Grand Total</t>
  </si>
  <si>
    <t>Weekend all</t>
  </si>
  <si>
    <t>11th Grade</t>
  </si>
  <si>
    <t>total</t>
  </si>
  <si>
    <t>12th Grade</t>
  </si>
  <si>
    <t>(blank)</t>
  </si>
  <si>
    <t>9th Grade</t>
  </si>
  <si>
    <t>26703 Wexford Dr</t>
  </si>
  <si>
    <t>Aleesha Hasan</t>
  </si>
  <si>
    <t>Muhammad Hasan</t>
  </si>
  <si>
    <t>2609 Antaria Lane</t>
  </si>
  <si>
    <t>Iffat Ahmed</t>
  </si>
  <si>
    <t>Shabbir Ahmed</t>
  </si>
  <si>
    <t>Tahera Begum</t>
  </si>
  <si>
    <t>31810 Gilbert Drive</t>
  </si>
  <si>
    <t>Liyana Rida Rahman</t>
  </si>
  <si>
    <t>Mahfujur Rahman</t>
  </si>
  <si>
    <t>Sayra Begum</t>
  </si>
  <si>
    <t>29144 Ohmer Dr</t>
  </si>
  <si>
    <t>Mahbubur Rahman</t>
  </si>
  <si>
    <t>Mahira Mahreen</t>
  </si>
  <si>
    <t>Rakib Husain</t>
  </si>
  <si>
    <t>Bilkis Begum</t>
  </si>
  <si>
    <t>23601 Panama Ave</t>
  </si>
  <si>
    <t>alimd0891@gmail.com</t>
  </si>
  <si>
    <t>Manha Bint Ali</t>
  </si>
  <si>
    <t>MD Shajahan Ali</t>
  </si>
  <si>
    <t>MST Khaleda Begum</t>
  </si>
  <si>
    <t>29548 Bonnie Dr</t>
  </si>
  <si>
    <t>Nazifa Jannat</t>
  </si>
  <si>
    <t>Mohammed Touhidur Rahman</t>
  </si>
  <si>
    <t>Rebeka Sultana</t>
  </si>
  <si>
    <t>11744 Highland Dr</t>
  </si>
  <si>
    <t>salahuddin.response@gmail.com</t>
  </si>
  <si>
    <t>Nurat Salahuddin</t>
  </si>
  <si>
    <t>MD Salahuddin</t>
  </si>
  <si>
    <t>Shahana Afrose</t>
  </si>
  <si>
    <t>NUZAIRAH CHOWDHURY</t>
  </si>
  <si>
    <t>MUHIBUL CHOWDHURY</t>
  </si>
  <si>
    <t>SYEDA PARVIN</t>
  </si>
  <si>
    <t>8166 Potomac</t>
  </si>
  <si>
    <t>Md Bodrul Islam</t>
  </si>
  <si>
    <t>Granf Father</t>
  </si>
  <si>
    <t>Sabria Hussain Lodi</t>
  </si>
  <si>
    <t>Zakir Hussain Lodi</t>
  </si>
  <si>
    <t>Hamida Tahmina</t>
  </si>
  <si>
    <t>Sifara</t>
  </si>
  <si>
    <t>14758 Shirlen Ave</t>
  </si>
  <si>
    <t>Sadia Hoque</t>
  </si>
  <si>
    <t>Anamul Hoque</t>
  </si>
  <si>
    <t>Farjana Begum</t>
  </si>
  <si>
    <t>26934 Eureka Dr</t>
  </si>
  <si>
    <t>Samarah A Chowdhury</t>
  </si>
  <si>
    <t>Subin H Chowdhury</t>
  </si>
  <si>
    <t>Rabia B Chowdhury</t>
  </si>
  <si>
    <t>20836 Le Fever Ave</t>
  </si>
  <si>
    <t>Jamal Uddin</t>
  </si>
  <si>
    <t>Sameeha Reza</t>
  </si>
  <si>
    <t>Mohammad Sharij Reza</t>
  </si>
  <si>
    <t>Rikhta Parvin</t>
  </si>
  <si>
    <t>27511 Sylvan Ave</t>
  </si>
  <si>
    <t>Samiha Ahmed</t>
  </si>
  <si>
    <t>Mohammed Shuhel</t>
  </si>
  <si>
    <t>Afruza Uddin</t>
  </si>
  <si>
    <t>35601 Marina Dr</t>
  </si>
  <si>
    <t>tazrch@gmail.com</t>
  </si>
  <si>
    <t>Ubayda Rashid Choudhury</t>
  </si>
  <si>
    <t>Tahsinur Rashid Choudhury</t>
  </si>
  <si>
    <t>Tahmida Akhter Chowdhury</t>
  </si>
  <si>
    <t>31712 Belleav Dr</t>
  </si>
  <si>
    <t>mdkislam18@gmail.com</t>
  </si>
  <si>
    <t>Afreen Islam</t>
  </si>
  <si>
    <t>Md K Islam</t>
  </si>
  <si>
    <t>Fardusi Rahman</t>
  </si>
  <si>
    <t>Afruza Akthar</t>
  </si>
  <si>
    <t xml:space="preserve">MOHAMMOD ANAM UDDIN </t>
  </si>
  <si>
    <t xml:space="preserve">MORIOM AKTHAR </t>
  </si>
  <si>
    <t>24136 Curie St</t>
  </si>
  <si>
    <t>Arisha Majumder</t>
  </si>
  <si>
    <t>Mohammed Farid Majumder</t>
  </si>
  <si>
    <t>Shimu Akhter</t>
  </si>
  <si>
    <t>3619 Otis Ave</t>
  </si>
  <si>
    <t>Farmena Begum</t>
  </si>
  <si>
    <t>(Late) Faruk Miah</t>
  </si>
  <si>
    <t>Nasima Begum</t>
  </si>
  <si>
    <t>Quran</t>
  </si>
  <si>
    <t>27129 Lorraine Ave</t>
  </si>
  <si>
    <t>Hisham Haque</t>
  </si>
  <si>
    <t>Heyam Haque</t>
  </si>
  <si>
    <t>Mohammed Hoque</t>
  </si>
  <si>
    <t>Kohinoor Haque</t>
  </si>
  <si>
    <t>Inaaya Chowdhury</t>
  </si>
  <si>
    <t>BADRUL CHOWDHURY</t>
  </si>
  <si>
    <t>AFSANA RAHMAN</t>
  </si>
  <si>
    <t>3171 Capitol Ave</t>
  </si>
  <si>
    <t>Mahima Khanom</t>
  </si>
  <si>
    <t>Hiron Khan</t>
  </si>
  <si>
    <t>Nargis Begum</t>
  </si>
  <si>
    <t>28027 Loretta Ave</t>
  </si>
  <si>
    <t>Mahiya Islam</t>
  </si>
  <si>
    <t>Zahirul Islam</t>
  </si>
  <si>
    <t>na</t>
  </si>
  <si>
    <t>33176 Blue Spruce Dr</t>
  </si>
  <si>
    <t>Sabiha Rahman</t>
  </si>
  <si>
    <t>Mahmudur Rahman</t>
  </si>
  <si>
    <t>Koly Rahman</t>
  </si>
  <si>
    <t>Sanjeeda Rahman (check RG 99)</t>
  </si>
  <si>
    <t>MAHMUDUR RAHMAN</t>
  </si>
  <si>
    <t>28056 Walker Ave</t>
  </si>
  <si>
    <t>Syed Zakaria</t>
  </si>
  <si>
    <t>Syeda Fariha</t>
  </si>
  <si>
    <t>Rajna Begum</t>
  </si>
  <si>
    <t>4075 Bart Ave</t>
  </si>
  <si>
    <t>Tammanna</t>
  </si>
  <si>
    <t>Zara Shah</t>
  </si>
  <si>
    <t>Abu Farhaz</t>
  </si>
  <si>
    <t>Tammanna Khanom</t>
  </si>
  <si>
    <t>Zoha Islam</t>
  </si>
  <si>
    <t>Foizul Islam</t>
  </si>
  <si>
    <t>Syeda Koli Islam</t>
  </si>
  <si>
    <t>3151 Donna Ave</t>
  </si>
  <si>
    <t>nahidasultana91@gmail.com</t>
  </si>
  <si>
    <t>Zunairah Jannat</t>
  </si>
  <si>
    <t>Tahmidul Islam</t>
  </si>
  <si>
    <t>Nahida Sultana</t>
  </si>
  <si>
    <t>Fariha Siraji</t>
  </si>
  <si>
    <t>Md Foysol Siraji</t>
  </si>
  <si>
    <t>Rabaka Begum</t>
  </si>
  <si>
    <t>Alifa Elham</t>
  </si>
  <si>
    <t>28117 Liberty Dr</t>
  </si>
  <si>
    <t>Abia Mahreen</t>
  </si>
  <si>
    <t>Koyes Ahmed</t>
  </si>
  <si>
    <t>Tamanna Begum</t>
  </si>
  <si>
    <t>Alvina Fateh</t>
  </si>
  <si>
    <t>Abul Kashem Fateh</t>
  </si>
  <si>
    <t>Siyara B Chowdhury</t>
  </si>
  <si>
    <t>Ayesha Siddika</t>
  </si>
  <si>
    <t>HASAN BAHAR</t>
  </si>
  <si>
    <t>MOSAMMAT RAHI</t>
  </si>
  <si>
    <t>33836 Orban Dr</t>
  </si>
  <si>
    <t>Fatima Ahmed</t>
  </si>
  <si>
    <t>Nazir Ahmed</t>
  </si>
  <si>
    <t>Amina Ahmed</t>
  </si>
  <si>
    <t>fakhrul021978@yahoo.com</t>
  </si>
  <si>
    <t>Sayla Akter Sayma</t>
  </si>
  <si>
    <t>Spouse</t>
  </si>
  <si>
    <t>Hafsa Islam</t>
  </si>
  <si>
    <t>Fakhrul Islam Sayla Akter Sayma</t>
  </si>
  <si>
    <t>4853 Wlgast Dr</t>
  </si>
  <si>
    <t>27430 Virgina Dr</t>
  </si>
  <si>
    <t>Mahira Hussain</t>
  </si>
  <si>
    <t>Delwar Hussain</t>
  </si>
  <si>
    <t>Azizun Nessa</t>
  </si>
  <si>
    <t>Muntaqa Bint Ali</t>
  </si>
  <si>
    <t>21200 Sunset Avenue</t>
  </si>
  <si>
    <t>Nadia Ali</t>
  </si>
  <si>
    <t>Asabor Ali</t>
  </si>
  <si>
    <t>Shamima Lepi</t>
  </si>
  <si>
    <t>Noushin Jannat Nuha</t>
  </si>
  <si>
    <t>2250 Geoffrey Dr</t>
  </si>
  <si>
    <t>Radiya Rahman</t>
  </si>
  <si>
    <t>Faizur Rahman</t>
  </si>
  <si>
    <t>Nargis Rahman</t>
  </si>
  <si>
    <t>4828 Iowa Dr</t>
  </si>
  <si>
    <t>Waliur Rahman</t>
  </si>
  <si>
    <t>Shafia Rahman</t>
  </si>
  <si>
    <t>Sabirah Rahman</t>
  </si>
  <si>
    <t>Syeda Samiha</t>
  </si>
  <si>
    <t>Tahiyat Hamid Khan</t>
  </si>
  <si>
    <t>23243 Masch Ave</t>
  </si>
  <si>
    <t>Ummayah Luna</t>
  </si>
  <si>
    <t>MD Nurul Amin</t>
  </si>
  <si>
    <t>Salma Momota</t>
  </si>
  <si>
    <t>23939 Ada Ave</t>
  </si>
  <si>
    <t>fahmianp@gmail.com</t>
  </si>
  <si>
    <t>Zahra Islam</t>
  </si>
  <si>
    <t>Md Helalul Islam</t>
  </si>
  <si>
    <t>Mst. Fahmida Yasmin</t>
  </si>
  <si>
    <t>Tazkiya Chowdhury</t>
  </si>
  <si>
    <t>Abida Begum</t>
  </si>
  <si>
    <t>ABDUL KADIR</t>
  </si>
  <si>
    <t>SHOPNA BEGUM</t>
  </si>
  <si>
    <t>Safa Nusaybah</t>
  </si>
  <si>
    <t>Fahim Talukdar</t>
  </si>
  <si>
    <t>Salma Begum</t>
  </si>
  <si>
    <t>Amira Alim Zaynab</t>
  </si>
  <si>
    <t>Abdul Alim Tushar</t>
  </si>
  <si>
    <t>Tania Sultana</t>
  </si>
  <si>
    <t>Amira Jannat</t>
  </si>
  <si>
    <t>Sawda Nusaybah</t>
  </si>
  <si>
    <t>Maha Rahman</t>
  </si>
  <si>
    <t>ISRAT LABIBA RAHMAN</t>
  </si>
  <si>
    <t>MOHAMMED EBADUR RAHMAN</t>
  </si>
  <si>
    <t>MAHBUBA ISLAM NADIA</t>
  </si>
  <si>
    <t>Nurat Hussain</t>
  </si>
  <si>
    <t>HUSSAIN TAREQ</t>
  </si>
  <si>
    <t>JOHURA AKTHER</t>
  </si>
  <si>
    <t>26052 Thomas St</t>
  </si>
  <si>
    <t>Sabirah Ahmed</t>
  </si>
  <si>
    <t>Salim Ahmed</t>
  </si>
  <si>
    <t>Shamima Akthar</t>
  </si>
  <si>
    <t>1606 Fountain Ave Madison Heights</t>
  </si>
  <si>
    <t>REF Abdul Basit Chy</t>
  </si>
  <si>
    <t>Shayma Islam</t>
  </si>
  <si>
    <t>Mohd. Nurul Islam</t>
  </si>
  <si>
    <t>26738 Kelsey</t>
  </si>
  <si>
    <t>Tabassum Jannat</t>
  </si>
  <si>
    <t>MD Abdul Hakiem Khali Sadar</t>
  </si>
  <si>
    <t>Lutfa Tanjina</t>
  </si>
  <si>
    <t>Tasnim Alam</t>
  </si>
  <si>
    <t>MOHAMMAD MORSHADUL ALAM</t>
  </si>
  <si>
    <t>ASMA ANJUM</t>
  </si>
  <si>
    <t>Zaira Jannat</t>
  </si>
  <si>
    <t>137633 Greg Ave</t>
  </si>
  <si>
    <t>Zeemal Tahir</t>
  </si>
  <si>
    <t>Mohammad Tahir</t>
  </si>
  <si>
    <t>Faria Islam Adeeba</t>
  </si>
  <si>
    <t>Muhammed Saiful Islam</t>
  </si>
  <si>
    <t>Nafsaniath Fatama Samia</t>
  </si>
  <si>
    <t>Sanaz Hussain</t>
  </si>
  <si>
    <t>Sabbir Hussain</t>
  </si>
  <si>
    <t>Shammie Begum</t>
  </si>
  <si>
    <t>4879 Lenomar et</t>
  </si>
  <si>
    <t>Meherun Rahman</t>
  </si>
  <si>
    <t>Mother</t>
  </si>
  <si>
    <t>Nushfa Rahman</t>
  </si>
  <si>
    <t>Niplu Rahman</t>
  </si>
  <si>
    <t>Nazifa Uddin</t>
  </si>
  <si>
    <t>Taj Uddin</t>
  </si>
  <si>
    <t>Rina Uddin</t>
  </si>
  <si>
    <t>Tasmia Rahman</t>
  </si>
  <si>
    <t>ZAINAB AL-AMIN</t>
  </si>
  <si>
    <t>RENU AL-AMIN</t>
  </si>
  <si>
    <t>SHAMMI AL-AMIN</t>
  </si>
  <si>
    <t>Ruhama Noorah</t>
  </si>
  <si>
    <t>2681 Locksley Ct</t>
  </si>
  <si>
    <t>mead1950@att.net</t>
  </si>
  <si>
    <t>Shah Alam</t>
  </si>
  <si>
    <t>Manaliaa Hossain</t>
  </si>
  <si>
    <t>Mohammed Mosharrof Hosson</t>
  </si>
  <si>
    <t>Mossammed Hossain</t>
  </si>
  <si>
    <t>4866 Lenoman Ct</t>
  </si>
  <si>
    <t>Sonia Begum</t>
  </si>
  <si>
    <t>Mohammed D Miah</t>
  </si>
  <si>
    <t>Musammat R Begum</t>
  </si>
  <si>
    <t>Fahmida Rahman</t>
  </si>
  <si>
    <t>Erina Aziz</t>
  </si>
  <si>
    <t>LIPON AZIZ</t>
  </si>
  <si>
    <t>ASFA AZIZ</t>
  </si>
  <si>
    <t>22578 Logue Ave</t>
  </si>
  <si>
    <t>Taiba Zoey</t>
  </si>
  <si>
    <t>MD Khadir Miah</t>
  </si>
  <si>
    <t>Lema Begum</t>
  </si>
  <si>
    <t>2440 Common Rd</t>
  </si>
  <si>
    <t>Tahdiya Chowdhury</t>
  </si>
  <si>
    <t>Sajid Chowdhury</t>
  </si>
  <si>
    <t>Farhana Afrin</t>
  </si>
  <si>
    <t>Ruqaiya Talia Rashid Choudhury</t>
  </si>
  <si>
    <t>Sahiba Hussain Lodi</t>
  </si>
  <si>
    <t>3648 Morrissey Ave</t>
  </si>
  <si>
    <t>helalabedin1977@gmail.com</t>
  </si>
  <si>
    <t>Amina Abedin</t>
  </si>
  <si>
    <t>Mohammad H Abedin</t>
  </si>
  <si>
    <t>Shahnaj Akter</t>
  </si>
  <si>
    <t>27763 Haverhill Dr</t>
  </si>
  <si>
    <t>Aleeza Hussain</t>
  </si>
  <si>
    <t>Kamal Hussain</t>
  </si>
  <si>
    <t>Salma Hussain</t>
  </si>
  <si>
    <t>Mehjabieen Islam</t>
  </si>
  <si>
    <t>Anisha Hussain</t>
  </si>
  <si>
    <t>AHMED ASAD</t>
  </si>
  <si>
    <t>SUNIA</t>
  </si>
  <si>
    <t>Tazkira Rakiba Dima</t>
  </si>
  <si>
    <t>Abdullah Al Faruk</t>
  </si>
  <si>
    <t>Umme Qulsum</t>
  </si>
  <si>
    <t>26552 Warner Ave</t>
  </si>
  <si>
    <t>Aasma Ali</t>
  </si>
  <si>
    <t>Hasan Ali</t>
  </si>
  <si>
    <t>n/a</t>
  </si>
  <si>
    <t>3876 Norbert Ave</t>
  </si>
  <si>
    <t>mashrafulamin1971@gmail.com</t>
  </si>
  <si>
    <t>Aisha Rahma</t>
  </si>
  <si>
    <t>Mohammed Amin</t>
  </si>
  <si>
    <t>Helena Akter</t>
  </si>
  <si>
    <t>Aleena Aziz</t>
  </si>
  <si>
    <t>Asmita Alam</t>
  </si>
  <si>
    <t>2630 Antonia Ln</t>
  </si>
  <si>
    <t>Faiza Jannat Anila</t>
  </si>
  <si>
    <t>Mohammed Gias Uddin</t>
  </si>
  <si>
    <t>Nusrat K Bhuiyan</t>
  </si>
  <si>
    <t>Maria Rahman</t>
  </si>
  <si>
    <t>Noushin Islam</t>
  </si>
  <si>
    <t>Sabrina Islam</t>
  </si>
  <si>
    <t>4517 Fenwick Dr</t>
  </si>
  <si>
    <t>Samara Hussain</t>
  </si>
  <si>
    <t>Syed Hussain</t>
  </si>
  <si>
    <t>Saida Chowdhury</t>
  </si>
  <si>
    <t>Tasfia Jannat</t>
  </si>
  <si>
    <t>Zaina Shah</t>
  </si>
  <si>
    <t>3518 Esch Dr</t>
  </si>
  <si>
    <t>Zara Zaman</t>
  </si>
  <si>
    <t>Opu Zaman</t>
  </si>
  <si>
    <t>Khaleda Akhter</t>
  </si>
  <si>
    <t>29138 Apoloina Dr</t>
  </si>
  <si>
    <t>Marowa Hakim</t>
  </si>
  <si>
    <t>Abdul Hakim</t>
  </si>
  <si>
    <t>Runa Begum</t>
  </si>
  <si>
    <t>35022 Dearing Drive</t>
  </si>
  <si>
    <t>Aaraf Ahmed</t>
  </si>
  <si>
    <t>Amzal Ahmed</t>
  </si>
  <si>
    <t>Hajera Kabir</t>
  </si>
  <si>
    <t>26704 Potomac Ct</t>
  </si>
  <si>
    <t>Centerline</t>
  </si>
  <si>
    <t>mdshohelmia254@yahoo.com</t>
  </si>
  <si>
    <t>Ahnaf H Anas</t>
  </si>
  <si>
    <t>MD Shohel Rana</t>
  </si>
  <si>
    <t>Saifun Naher</t>
  </si>
  <si>
    <t>27595 Sylvan Ave</t>
  </si>
  <si>
    <t>Farhan Uddin</t>
  </si>
  <si>
    <t>Ferdous Uddin</t>
  </si>
  <si>
    <t>24220 Joanne Ave</t>
  </si>
  <si>
    <t>minhaj2040@hotmail.com</t>
  </si>
  <si>
    <t>Israar Ahmed</t>
  </si>
  <si>
    <t>Minhaj Ahmed</t>
  </si>
  <si>
    <t>30822 Newport Dr</t>
  </si>
  <si>
    <t>Maher Siraji</t>
  </si>
  <si>
    <t>Kawsar Siraji</t>
  </si>
  <si>
    <t>Jaheda Begum</t>
  </si>
  <si>
    <t>31658 Belleau Dr</t>
  </si>
  <si>
    <t>Minhaj Arham</t>
  </si>
  <si>
    <t>Mohammed Kashem</t>
  </si>
  <si>
    <t>Tauhida Sultana</t>
  </si>
  <si>
    <t>Mohammad Hasan</t>
  </si>
  <si>
    <t>2389 Cardigan Ct (North)</t>
  </si>
  <si>
    <t>Muaz Mohammad Karim</t>
  </si>
  <si>
    <t>Mohammad Rezaul Karim</t>
  </si>
  <si>
    <t>Shelina Akter</t>
  </si>
  <si>
    <t>26655 Potomac ct Center Line</t>
  </si>
  <si>
    <t>Pervez Hussain</t>
  </si>
  <si>
    <t>Friend</t>
  </si>
  <si>
    <t>Rafi Uddin</t>
  </si>
  <si>
    <t>Musleh Uddin</t>
  </si>
  <si>
    <t>Israt Uddin</t>
  </si>
  <si>
    <t>Riyad Miah</t>
  </si>
  <si>
    <t>23850 Masch Ave</t>
  </si>
  <si>
    <t>Safwan Ahmed</t>
  </si>
  <si>
    <t>Bashir Ahmed</t>
  </si>
  <si>
    <t>Foorida Ahmed</t>
  </si>
  <si>
    <t>Yasir Zaman</t>
  </si>
  <si>
    <t>26291 Eureka Drive</t>
  </si>
  <si>
    <t>Anas Bin Mannan</t>
  </si>
  <si>
    <t>MD Abdul Mannan Khan</t>
  </si>
  <si>
    <t>MST Sayedatun Nesa</t>
  </si>
  <si>
    <t>24359 Loretta Ave</t>
  </si>
  <si>
    <t>Abu Thihamin</t>
  </si>
  <si>
    <t>Athiqur Rahman</t>
  </si>
  <si>
    <t>Parvin Akhter</t>
  </si>
  <si>
    <t>Saif Rahman</t>
  </si>
  <si>
    <t>Sarifur Rahman</t>
  </si>
  <si>
    <t>Tamama Rahman</t>
  </si>
  <si>
    <t>Adnan Ali</t>
  </si>
  <si>
    <t>26245 Thomas St</t>
  </si>
  <si>
    <t>Armaan Syed</t>
  </si>
  <si>
    <t>Shibbir Syed</t>
  </si>
  <si>
    <t>NA</t>
  </si>
  <si>
    <t>Asim Aziz</t>
  </si>
  <si>
    <t>Ihsan Chowdhury</t>
  </si>
  <si>
    <t>31920 Cleays Dr</t>
  </si>
  <si>
    <t>mofizurlablu@gmail.com</t>
  </si>
  <si>
    <t>Mahdi Rahman</t>
  </si>
  <si>
    <t>Mofizur Lablu</t>
  </si>
  <si>
    <t>Minara Ali</t>
  </si>
  <si>
    <t>8739 Lozier Avenue</t>
  </si>
  <si>
    <t>Omar Muhammed Hashem</t>
  </si>
  <si>
    <t>Mohammed Rohel Kabir</t>
  </si>
  <si>
    <t>Poppy Begum</t>
  </si>
  <si>
    <t>3020 Seator Circuit N</t>
  </si>
  <si>
    <t>sanjidalucky22@yahoo.com</t>
  </si>
  <si>
    <t>Rahnuma Samiah</t>
  </si>
  <si>
    <t>Sahiem Rahman</t>
  </si>
  <si>
    <t>Khalilur Rahman</t>
  </si>
  <si>
    <t>Sanjida K Lucky</t>
  </si>
  <si>
    <t>Saqib Hasan</t>
  </si>
  <si>
    <t>MD EMRUL HASAN</t>
  </si>
  <si>
    <t>AMINA HASAN</t>
  </si>
  <si>
    <t>Shahadat Hasan</t>
  </si>
  <si>
    <t>2400 East Maple Rd</t>
  </si>
  <si>
    <t>Troy</t>
  </si>
  <si>
    <t>Shajidur Rahman</t>
  </si>
  <si>
    <t>Abdur Rahman</t>
  </si>
  <si>
    <t>Shireen Akter</t>
  </si>
  <si>
    <t>Zarrar Islam</t>
  </si>
  <si>
    <t>Abdul Aziz Bah</t>
  </si>
  <si>
    <t>Omar Bah</t>
  </si>
  <si>
    <t>Teddy Jawo Bah</t>
  </si>
  <si>
    <t>Rafi Ahmed</t>
  </si>
  <si>
    <t>Sadique Tawhid</t>
  </si>
  <si>
    <t>Hamim Haque</t>
  </si>
  <si>
    <t>Omar Zaman</t>
  </si>
  <si>
    <t>3249 Bernice Ave</t>
  </si>
  <si>
    <t>khanmohd84@yahoo.com</t>
  </si>
  <si>
    <t>Khan Tirmiz</t>
  </si>
  <si>
    <t>Brother</t>
  </si>
  <si>
    <t>Tajwar Younus Khan</t>
  </si>
  <si>
    <t>Mohd L Khan</t>
  </si>
  <si>
    <t>Dilruba J Khan</t>
  </si>
  <si>
    <t>Arham Majumder</t>
  </si>
  <si>
    <t>Araf Majumder</t>
  </si>
  <si>
    <t>Mohammed Miah</t>
  </si>
  <si>
    <t>Saeed Rahman</t>
  </si>
  <si>
    <t>Yunus Rahman</t>
  </si>
  <si>
    <t>11932 Champaign Ave</t>
  </si>
  <si>
    <t>Musannat Islam</t>
  </si>
  <si>
    <t>Azharul Islam</t>
  </si>
  <si>
    <t>Muhammed Islam</t>
  </si>
  <si>
    <t>Tahara Parbin</t>
  </si>
  <si>
    <t>Nafim Ahmed</t>
  </si>
  <si>
    <t>3545 Dolores Ave</t>
  </si>
  <si>
    <t>Nazmul Shaheen</t>
  </si>
  <si>
    <t>Kamrul Shaheen</t>
  </si>
  <si>
    <t>Baby Begum</t>
  </si>
  <si>
    <t>4880 Lenomar et</t>
  </si>
  <si>
    <t>Nipiu Rahman</t>
  </si>
  <si>
    <t>Ibadul Islam (Mahir)</t>
  </si>
  <si>
    <t>Md Obayedul Islam</t>
  </si>
  <si>
    <t>Priti Rahman</t>
  </si>
  <si>
    <t>Ibrahim Hoque</t>
  </si>
  <si>
    <t>RADEEM NOOR</t>
  </si>
  <si>
    <t>RONAN NOOR</t>
  </si>
  <si>
    <t>TAHMINA CHOWDHURY</t>
  </si>
  <si>
    <t>Rayaan Syed</t>
  </si>
  <si>
    <t>Rayhan Kashem</t>
  </si>
  <si>
    <t>Saif Uddin</t>
  </si>
  <si>
    <t xml:space="preserve">TALHA AHMED </t>
  </si>
  <si>
    <t>SHIBBIR AHMED</t>
  </si>
  <si>
    <t>YESMIN AKTER TARANA</t>
  </si>
  <si>
    <t>5025 Frazha Rd</t>
  </si>
  <si>
    <t>Yahya Khan</t>
  </si>
  <si>
    <t>Joynal A Khan</t>
  </si>
  <si>
    <t>Farhana Fahima</t>
  </si>
  <si>
    <t>Zunaid Islam</t>
  </si>
  <si>
    <t>Fahim Abdullah</t>
  </si>
  <si>
    <t>Arham Noor</t>
  </si>
  <si>
    <t>Akbar Noor</t>
  </si>
  <si>
    <t>Mumina Noor</t>
  </si>
  <si>
    <t>Abdou Rahman Bah</t>
  </si>
  <si>
    <t>Mahdi Hakim</t>
  </si>
  <si>
    <t>Adyan Ahmed Hasan</t>
  </si>
  <si>
    <t>Asim Hussain Syed</t>
  </si>
  <si>
    <t>Emaaz Tahir</t>
  </si>
  <si>
    <t>24733 Beierman Ave</t>
  </si>
  <si>
    <t>Shamsi Ahmed</t>
  </si>
  <si>
    <t>Rayan Rahim Ahmed</t>
  </si>
  <si>
    <t>Faruque Ahmed</t>
  </si>
  <si>
    <t>Sabina Akther</t>
  </si>
  <si>
    <t>Irfan Rahim</t>
  </si>
  <si>
    <t>Mahdi Islam</t>
  </si>
  <si>
    <t>Mihran Affan</t>
  </si>
  <si>
    <t>Mohammad Ishmael Khan</t>
  </si>
  <si>
    <t>4308 Linville Dr</t>
  </si>
  <si>
    <t>Sulaiman Ahmed</t>
  </si>
  <si>
    <t>Ifjal Ahmed</t>
  </si>
  <si>
    <t>Jannatul Ferdous</t>
  </si>
  <si>
    <t>4529 Fenwick Dr</t>
  </si>
  <si>
    <t>Muhibur Alam</t>
  </si>
  <si>
    <t>Yahya Rahman Ayan</t>
  </si>
  <si>
    <t>Hazera Rahman</t>
  </si>
  <si>
    <t>26619 Eureka Dr.</t>
  </si>
  <si>
    <t>Yameen Ahmed</t>
  </si>
  <si>
    <t>Mohammad Bilal Ahmed</t>
  </si>
  <si>
    <t>Mahbuba Begum</t>
  </si>
  <si>
    <t>Ishmam Imam</t>
  </si>
  <si>
    <t>Syeda Khanom</t>
  </si>
  <si>
    <t>29620 Orville Drive</t>
  </si>
  <si>
    <t>Abdul Kudus</t>
  </si>
  <si>
    <t>+13473027246</t>
  </si>
  <si>
    <t>Tabit Chowdhury</t>
  </si>
  <si>
    <t>Abdus Samad Chowdhury</t>
  </si>
  <si>
    <t>Takrima Z Sonia</t>
  </si>
  <si>
    <t>Omar Rahim Ahmed</t>
  </si>
  <si>
    <t>3138 Menge Ave</t>
  </si>
  <si>
    <t>Rabbir Hussain</t>
  </si>
  <si>
    <t>Afraz Alamgir</t>
  </si>
  <si>
    <t>Alamgir H</t>
  </si>
  <si>
    <t>Papia Chowdhury</t>
  </si>
  <si>
    <t>Aryan Alamgir</t>
  </si>
  <si>
    <t>RAQIB HASAN</t>
  </si>
  <si>
    <t>Faizan Rahman</t>
  </si>
  <si>
    <t>24219 Joanne Ave</t>
  </si>
  <si>
    <t>sirajsylhet1974@gmail.com</t>
  </si>
  <si>
    <t>Helalul Islam</t>
  </si>
  <si>
    <t>Yusuf Zulkarnine</t>
  </si>
  <si>
    <t>Mohammed Sirajul Islam</t>
  </si>
  <si>
    <t>Nilufa Begum</t>
  </si>
  <si>
    <t>Taaraz Hussain Lodi</t>
  </si>
  <si>
    <t>Ehaan Hussain</t>
  </si>
  <si>
    <t>Ahiyan Hussain</t>
  </si>
  <si>
    <t>Aryan Ahmed Khan</t>
  </si>
  <si>
    <t>Tofayel Khan</t>
  </si>
  <si>
    <t>Soniya A Dina</t>
  </si>
  <si>
    <t>3845 Dawa Dr</t>
  </si>
  <si>
    <t>m.haque345@gmail.com</t>
  </si>
  <si>
    <t>Mozidul Hoque</t>
  </si>
  <si>
    <t>Mahdi Haque</t>
  </si>
  <si>
    <t>Mohammad Shamsul Haque</t>
  </si>
  <si>
    <t>Hena Haque</t>
  </si>
  <si>
    <t>Ismael Bah</t>
  </si>
  <si>
    <t>Abdullah Al Ruhan</t>
  </si>
  <si>
    <t>Abdullah Al Mahbub</t>
  </si>
  <si>
    <t>Sifat Hossain</t>
  </si>
  <si>
    <t>Aleena Akhtar</t>
  </si>
  <si>
    <t>30220 Dell Lane</t>
  </si>
  <si>
    <t>Oasiur Hagel</t>
  </si>
  <si>
    <t>Zahra Syeda Amatullah</t>
  </si>
  <si>
    <t>Syed Abdullah Hossain Tipu</t>
  </si>
  <si>
    <t>Mahfuza Sultana Koly</t>
  </si>
  <si>
    <t>26154 Woodingham Dr</t>
  </si>
  <si>
    <t>Samya Mojumder</t>
  </si>
  <si>
    <t>Azmol Mojumder</t>
  </si>
  <si>
    <t>Zamil Mojumder</t>
  </si>
  <si>
    <t>Sajeeda Rahman</t>
  </si>
  <si>
    <t>24757 Patricia Ave</t>
  </si>
  <si>
    <t>Naju Mustaque</t>
  </si>
  <si>
    <t>Mohammed Mustaque</t>
  </si>
  <si>
    <t>Rusna Begum</t>
  </si>
  <si>
    <t>Adilah Ahmed</t>
  </si>
  <si>
    <t>Aysha Siddika</t>
  </si>
  <si>
    <t>Late Abdul Manna</t>
  </si>
  <si>
    <t>Shahina Begum</t>
  </si>
  <si>
    <t>Nafisa Mariom</t>
  </si>
  <si>
    <t>20754 Doepfer Rd</t>
  </si>
  <si>
    <t>kafi6240@gmail.com</t>
  </si>
  <si>
    <t>Nafisa Abdullah</t>
  </si>
  <si>
    <t>Md Abdullah Kafi</t>
  </si>
  <si>
    <t>Hafiza Khatun</t>
  </si>
  <si>
    <t>25742 Cunninham Ave</t>
  </si>
  <si>
    <t>Shahanara Begum</t>
  </si>
  <si>
    <t>+15862449550</t>
  </si>
  <si>
    <t>Nafisa Ahad Fariha</t>
  </si>
  <si>
    <t>Abdul Ahad</t>
  </si>
  <si>
    <t>Kazi Halima Sultana</t>
  </si>
  <si>
    <t>Amira Zaynab</t>
  </si>
  <si>
    <t>Simrah Salim</t>
  </si>
  <si>
    <t>4412 Bennington</t>
  </si>
  <si>
    <t>Iqra Choudhury</t>
  </si>
  <si>
    <t>Tanvir Choudhury</t>
  </si>
  <si>
    <t>Farzana Choudhury</t>
  </si>
  <si>
    <t>26642 Wagner</t>
  </si>
  <si>
    <t>Tanisha Ahmed</t>
  </si>
  <si>
    <t>Foyysol Ahmed</t>
  </si>
  <si>
    <t>Tanya Ahmed</t>
  </si>
  <si>
    <t>26136 Dover Ave</t>
  </si>
  <si>
    <t>Radwan Ahmed</t>
  </si>
  <si>
    <t>Ameera Haque Nimmi</t>
  </si>
  <si>
    <t>Nizamul Haque</t>
  </si>
  <si>
    <t>Syeda Tanzima Begum</t>
  </si>
  <si>
    <t>24068 Virginia Dr</t>
  </si>
  <si>
    <t>Father`</t>
  </si>
  <si>
    <t>Faiza Shamsuddin (check RG 40)</t>
  </si>
  <si>
    <t>27432 Grobbel Dr</t>
  </si>
  <si>
    <t>Naba Islam</t>
  </si>
  <si>
    <t>Md Shehabul Islam</t>
  </si>
  <si>
    <t>Marzana Akther</t>
  </si>
  <si>
    <t>44257 LA-Domain</t>
  </si>
  <si>
    <t>Ayaat Alam</t>
  </si>
  <si>
    <t>Mohammad Alam</t>
  </si>
  <si>
    <t>Shilpi Miah</t>
  </si>
  <si>
    <t>26733 Warner Ave</t>
  </si>
  <si>
    <t>Juber Ahmed</t>
  </si>
  <si>
    <t>Rahma Kibria</t>
  </si>
  <si>
    <t>Hasan Kibria</t>
  </si>
  <si>
    <t>Liza Begum</t>
  </si>
  <si>
    <t>3870 Morrissey Ave</t>
  </si>
  <si>
    <t>Aunti</t>
  </si>
  <si>
    <t>Nazifa Haque</t>
  </si>
  <si>
    <t>Fayzul Haque</t>
  </si>
  <si>
    <t>Fahmida S Rahman</t>
  </si>
  <si>
    <t>Asfia Haque</t>
  </si>
  <si>
    <t>28211 Norwood</t>
  </si>
  <si>
    <t>rumana20111@hotmail.com</t>
  </si>
  <si>
    <t>Sabina Yesmin</t>
  </si>
  <si>
    <t>Wafiqah Huda</t>
  </si>
  <si>
    <t>Shahadat Huda</t>
  </si>
  <si>
    <t>Rumana Huda</t>
  </si>
  <si>
    <t>Anousha Huda</t>
  </si>
  <si>
    <t>24721 Beienman Ave</t>
  </si>
  <si>
    <t>Daania Uddin</t>
  </si>
  <si>
    <t>Muhi Uddin</t>
  </si>
  <si>
    <t>Arifa Begum</t>
  </si>
  <si>
    <t>28806 Lund Ave</t>
  </si>
  <si>
    <t>shahinub1985@gmail.com</t>
  </si>
  <si>
    <t>Fariha Chowdhury</t>
  </si>
  <si>
    <t>Alisha Zaman Chowdhury</t>
  </si>
  <si>
    <t>Ohiduzzaman Chowdhury</t>
  </si>
  <si>
    <t>Shahina Chowdhury</t>
  </si>
  <si>
    <t>3040 Pearl Ave</t>
  </si>
  <si>
    <t>saraya@gmail.com</t>
  </si>
  <si>
    <t>Hafsa Alam</t>
  </si>
  <si>
    <t>Sayful Alam Suhel</t>
  </si>
  <si>
    <t>Aisha Alam</t>
  </si>
  <si>
    <t>3166 Mckinley Ave</t>
  </si>
  <si>
    <t>nkhan2009@yahoo.com</t>
  </si>
  <si>
    <t>Areeba Khanom</t>
  </si>
  <si>
    <t>Muhammad N Khan</t>
  </si>
  <si>
    <t>Rahatun N Chowdhury</t>
  </si>
  <si>
    <t>3624 Pearl Ave</t>
  </si>
  <si>
    <t>Jana Al Jannat Uddin</t>
  </si>
  <si>
    <t>Md Jamal Uddin</t>
  </si>
  <si>
    <t>Sonya Siddika</t>
  </si>
  <si>
    <t>26165 Thomas St</t>
  </si>
  <si>
    <t>abdulrafiq9605@gmail.com</t>
  </si>
  <si>
    <t>Rashina Begum</t>
  </si>
  <si>
    <t>Alisha Begum</t>
  </si>
  <si>
    <t>MD Abdul Rafiq</t>
  </si>
  <si>
    <t>25755 Patricia Ave</t>
  </si>
  <si>
    <t>Suhaiba Khan</t>
  </si>
  <si>
    <t>Mizanur Khan</t>
  </si>
  <si>
    <t>Tayiba Sufia Khan</t>
  </si>
  <si>
    <t>22316 Bruce St</t>
  </si>
  <si>
    <t>Ref: Imam Basit Chowdhury</t>
  </si>
  <si>
    <t>Zareen Khan</t>
  </si>
  <si>
    <t>Mohammed J Khan</t>
  </si>
  <si>
    <t>Rozina Khanom</t>
  </si>
  <si>
    <t>jubel87@hotmail.com</t>
  </si>
  <si>
    <t>Aleem Aqsa Hyat</t>
  </si>
  <si>
    <t>Tasnim Khanam</t>
  </si>
  <si>
    <t>3905 Poplar</t>
  </si>
  <si>
    <t>Adiba Waheed Ahmed</t>
  </si>
  <si>
    <t>Mohd Ali Akbor</t>
  </si>
  <si>
    <t>Mst. Rina Akther</t>
  </si>
  <si>
    <t>3896 Poplar Ave</t>
  </si>
  <si>
    <t>Maimuna Chowdhury</t>
  </si>
  <si>
    <t>Mahad Chowdhury</t>
  </si>
  <si>
    <t>Taslima Begum</t>
  </si>
  <si>
    <t>5008 Renshaw Dr</t>
  </si>
  <si>
    <t>Maria Rwaida Rahman</t>
  </si>
  <si>
    <t>Mohammed Ataur Rahman</t>
  </si>
  <si>
    <t>Moroyam Fateha Rahman</t>
  </si>
  <si>
    <t>3158 Dallas Ave</t>
  </si>
  <si>
    <t>Baraah Zakariya Alhariri</t>
  </si>
  <si>
    <t>Zakariya Alhariri</t>
  </si>
  <si>
    <t>Ghazal Alhariri</t>
  </si>
  <si>
    <t>Maymonah Zakariya Alhariri</t>
  </si>
  <si>
    <t>4550 Frazho Rd</t>
  </si>
  <si>
    <t>Najifa Suayeb</t>
  </si>
  <si>
    <t>Mohammed Suayeb</t>
  </si>
  <si>
    <t>Fateha Begum</t>
  </si>
  <si>
    <t>25431 Patricia Ave</t>
  </si>
  <si>
    <t>Faizah Ahmed</t>
  </si>
  <si>
    <t>Saleh Ahmed</t>
  </si>
  <si>
    <t>Sunara Khatun</t>
  </si>
  <si>
    <t>11694 Eldorado Dr</t>
  </si>
  <si>
    <t>Irha Ahmed</t>
  </si>
  <si>
    <t>Rejwan Ahmed</t>
  </si>
  <si>
    <t>Firuza Ahmed</t>
  </si>
  <si>
    <t>38645 Woodmont Dr</t>
  </si>
  <si>
    <t>Tasfia Hussain</t>
  </si>
  <si>
    <t>Ahmed Khaled Hussain</t>
  </si>
  <si>
    <t>23210</t>
  </si>
  <si>
    <t>Emrana Ahmed</t>
  </si>
  <si>
    <t>Robel Ahmed</t>
  </si>
  <si>
    <t>Marzana Begum</t>
  </si>
  <si>
    <t>Arafah Ahmed</t>
  </si>
  <si>
    <t>4977 Engleman Ave</t>
  </si>
  <si>
    <t>Suhaila Islam Sabiha</t>
  </si>
  <si>
    <t>Shafiqul Islam</t>
  </si>
  <si>
    <t>Bibi Hazara</t>
  </si>
  <si>
    <t>11538 Applewood Dr</t>
  </si>
  <si>
    <t>Aleena Islam</t>
  </si>
  <si>
    <t>Kamrul Islam</t>
  </si>
  <si>
    <t>Namena Momtaz</t>
  </si>
  <si>
    <t>25766 Lorettta Ave</t>
  </si>
  <si>
    <t>Juwayriya Zahid</t>
  </si>
  <si>
    <t>MD Zahidul Islam</t>
  </si>
  <si>
    <t>Pahima Akhter</t>
  </si>
  <si>
    <t>Zunariah Zahid</t>
  </si>
  <si>
    <t>25015 Curie Ave, Apt 215</t>
  </si>
  <si>
    <t>Jamila Islam</t>
  </si>
  <si>
    <t>Shahidul Islam</t>
  </si>
  <si>
    <t>Yasmin Akter</t>
  </si>
  <si>
    <t>Madeha Siraji</t>
  </si>
  <si>
    <t>36819 Kyro Ct</t>
  </si>
  <si>
    <t>Zahra Hussain</t>
  </si>
  <si>
    <t>Ahmed Sowar Hussain</t>
  </si>
  <si>
    <t>Syeda Rahman</t>
  </si>
  <si>
    <t>34653 Amsterdam Dr</t>
  </si>
  <si>
    <t>Nusaybah Ahmed</t>
  </si>
  <si>
    <t>Ripon Ahmed</t>
  </si>
  <si>
    <t>Siddika Ahmed</t>
  </si>
  <si>
    <t>36738 Haverhill Dr</t>
  </si>
  <si>
    <t>Nabiha Khalique</t>
  </si>
  <si>
    <t>Mamun Khalique</t>
  </si>
  <si>
    <t>Habiba Khalique</t>
  </si>
  <si>
    <t>Saniyah Khalique</t>
  </si>
  <si>
    <t>11665 Ebony Ct.</t>
  </si>
  <si>
    <t>Zainab Inaaya Aftab</t>
  </si>
  <si>
    <t>Aftab Uddin</t>
  </si>
  <si>
    <t>Thamina Helly</t>
  </si>
  <si>
    <t>27200 Parkview Blvd, Apt-603</t>
  </si>
  <si>
    <t>Arfa Mahmud</t>
  </si>
  <si>
    <t>Sulaiman Al Mahmud</t>
  </si>
  <si>
    <t>Marzia Aktar</t>
  </si>
  <si>
    <t>28066 Universal Dr</t>
  </si>
  <si>
    <t>Zaynah Miah</t>
  </si>
  <si>
    <t>Mohammad Atik Miah</t>
  </si>
  <si>
    <t>Jasmin Uddin</t>
  </si>
  <si>
    <t>Wasefa Ahad Fabiha</t>
  </si>
  <si>
    <t>Aribah Chowdhury</t>
  </si>
  <si>
    <t>RAHMA KHAN</t>
  </si>
  <si>
    <t>Asiya</t>
  </si>
  <si>
    <t>FAHMIDA RAHMAN (check RG 99)</t>
  </si>
  <si>
    <t>MARIA RAHMAN (check RG 99)</t>
  </si>
  <si>
    <t>SABIHA RAHMAN (check RG 99)</t>
  </si>
  <si>
    <t>24424 Curie St</t>
  </si>
  <si>
    <t>Mahid Ahmed</t>
  </si>
  <si>
    <t>Nabul Ahmed</t>
  </si>
  <si>
    <t>Tahera Sultana</t>
  </si>
  <si>
    <t>Mahdi Ahmed</t>
  </si>
  <si>
    <t>(LATE) ABDUL MANNAN</t>
  </si>
  <si>
    <t>SHAHINA BEGUM</t>
  </si>
  <si>
    <t>11122Meadow Brook Dr</t>
  </si>
  <si>
    <t>mostakahmed57@gmail.com</t>
  </si>
  <si>
    <t>Najnin Miah</t>
  </si>
  <si>
    <t>Lukman Ahmed Miah</t>
  </si>
  <si>
    <t>Mostak Ahmed</t>
  </si>
  <si>
    <t>Jahanara B Dolly</t>
  </si>
  <si>
    <t>TAHMEED AL-AMIN</t>
  </si>
  <si>
    <t>Rami Ahmed</t>
  </si>
  <si>
    <t>25697 Cloic Dr</t>
  </si>
  <si>
    <t>Irfan Ahmed</t>
  </si>
  <si>
    <t>Md Minur Ahmed</t>
  </si>
  <si>
    <t>Nowshin Jahan Jarin</t>
  </si>
  <si>
    <t>Wassim Al Hariri</t>
  </si>
  <si>
    <t>YOWSEF ALHARIRI</t>
  </si>
  <si>
    <t>Abeed Khan</t>
  </si>
  <si>
    <t>Mohamed Alhariri, check RG 181</t>
  </si>
  <si>
    <t>Yousef Alhariri</t>
  </si>
  <si>
    <t>Tawaf Ahmed</t>
  </si>
  <si>
    <t>28045 Liberty Dr</t>
  </si>
  <si>
    <t>MD Affan Khan</t>
  </si>
  <si>
    <t>MD Rayhan Khan</t>
  </si>
  <si>
    <t>Redwana Haque</t>
  </si>
  <si>
    <t>25625 Cloie Dr</t>
  </si>
  <si>
    <t>Shamira Chowdhury</t>
  </si>
  <si>
    <t>Saif Ahmed</t>
  </si>
  <si>
    <t>Tammi Begum</t>
  </si>
  <si>
    <t>3131 Potomac Ave</t>
  </si>
  <si>
    <t>Sriti Rahman</t>
  </si>
  <si>
    <t>Sardar Muhammad Siyam</t>
  </si>
  <si>
    <t>MD Saifur Rahman Shamim</t>
  </si>
  <si>
    <t>Aniq Alam</t>
  </si>
  <si>
    <t>Ahmed Ibrahim</t>
  </si>
  <si>
    <t>27357 Newport Dr</t>
  </si>
  <si>
    <t>Tamanna Rahman</t>
  </si>
  <si>
    <t>Istiaq I Ahmed</t>
  </si>
  <si>
    <t>Nurul I Ahmed</t>
  </si>
  <si>
    <t>Ishraq I Ahmed</t>
  </si>
  <si>
    <t>30510 Grvenburg Dr</t>
  </si>
  <si>
    <t>israthjj@gmail.com</t>
  </si>
  <si>
    <t>Mumena Taiyeva</t>
  </si>
  <si>
    <t>Inayatur Tanvir</t>
  </si>
  <si>
    <t>Hamidur Rahman</t>
  </si>
  <si>
    <t>Israth Jafrin</t>
  </si>
  <si>
    <t>2103 Rome Ave</t>
  </si>
  <si>
    <t>afrinmim3088@gmail.com</t>
  </si>
  <si>
    <t>Arfaan Bin Abdullah</t>
  </si>
  <si>
    <t>Abdullah Al Fahad Bhuiyan</t>
  </si>
  <si>
    <t>Afrin Binta Hoque</t>
  </si>
  <si>
    <t>8145 Sunburst</t>
  </si>
  <si>
    <t>Samith Uddin</t>
  </si>
  <si>
    <t>Shamim Uddin</t>
  </si>
  <si>
    <t>Parben Begom</t>
  </si>
  <si>
    <t>30510 Groenberg Dr</t>
  </si>
  <si>
    <t>Inayatur Tanvir, check RG 41</t>
  </si>
  <si>
    <t>24926 Hill Ave</t>
  </si>
  <si>
    <t>Samyn Haque</t>
  </si>
  <si>
    <t>Mohammad Haque</t>
  </si>
  <si>
    <t>Sadia Begum</t>
  </si>
  <si>
    <t>Tayaf Haque</t>
  </si>
  <si>
    <t>Sidrat Haque</t>
  </si>
  <si>
    <t>Safawat Haque</t>
  </si>
  <si>
    <t>Nawaz Chowdhury</t>
  </si>
  <si>
    <t>8320 Continental Ave</t>
  </si>
  <si>
    <t>tawhideusrajib@gmail.com</t>
  </si>
  <si>
    <t>Ayaan Abdullah Rajib</t>
  </si>
  <si>
    <t>Tawhideus J Rajib</t>
  </si>
  <si>
    <t>Halima Hannan</t>
  </si>
  <si>
    <t>Arham Huda</t>
  </si>
  <si>
    <t>Irfan Huda</t>
  </si>
  <si>
    <t>29221 Gilbert-DR</t>
  </si>
  <si>
    <t>shakijoynul@gmail.com</t>
  </si>
  <si>
    <t>Md. Faruq Udin</t>
  </si>
  <si>
    <t>Ahmed Adil</t>
  </si>
  <si>
    <t>Md. Joynul Abedin</t>
  </si>
  <si>
    <t>Shaki Begum</t>
  </si>
  <si>
    <t>Abrar Abedin</t>
  </si>
  <si>
    <t>Muhannad Uddin</t>
  </si>
  <si>
    <t>Adyan Islam</t>
  </si>
  <si>
    <t>Shafin Rahman</t>
  </si>
  <si>
    <t>2612 Seaton Circuit S</t>
  </si>
  <si>
    <t>sadikchy10@gmail.com</t>
  </si>
  <si>
    <t>Musab Chowdhury</t>
  </si>
  <si>
    <t>Sadik Chowdhury</t>
  </si>
  <si>
    <t>Sajeda Begum</t>
  </si>
  <si>
    <t>30519 Warner Ave</t>
  </si>
  <si>
    <t>colcibegum771@gmail.com</t>
  </si>
  <si>
    <t>Ifran Ahmed</t>
  </si>
  <si>
    <t>Monir Miah</t>
  </si>
  <si>
    <t>Colci Begum</t>
  </si>
  <si>
    <t>322218 Newcastle Dr</t>
  </si>
  <si>
    <t>lubabmasood2@gmail.com</t>
  </si>
  <si>
    <t>Hanzalah Usman Tufail</t>
  </si>
  <si>
    <t>MD Tufail</t>
  </si>
  <si>
    <t>Shahely Aktar</t>
  </si>
  <si>
    <t>31472 Lyons C/R East</t>
  </si>
  <si>
    <t>muhitraj@yahoo.com</t>
  </si>
  <si>
    <t>Imran Chowdhury</t>
  </si>
  <si>
    <t>Cousin</t>
  </si>
  <si>
    <t>+15863283693</t>
  </si>
  <si>
    <t>Tajwar Chowdhury</t>
  </si>
  <si>
    <t>MD Abdul Muhit Chowdhury</t>
  </si>
  <si>
    <t>Tahura Chowdhury</t>
  </si>
  <si>
    <t>Tabeer Chowdhury</t>
  </si>
  <si>
    <t>Saahir Chowdhury</t>
  </si>
  <si>
    <t>4863 East 13 Mile Rd</t>
  </si>
  <si>
    <t>chowdhuryhamida95@gmail.com</t>
  </si>
  <si>
    <t>+13136030078</t>
  </si>
  <si>
    <t>Abdullah Binyamin Chowdhury</t>
  </si>
  <si>
    <t>Imran Ahmed Chowhdhury</t>
  </si>
  <si>
    <t>Hamida Khanom Chowdhury</t>
  </si>
  <si>
    <t>3133 Rome Ave</t>
  </si>
  <si>
    <t>kdchowdhury261@gmail.om</t>
  </si>
  <si>
    <t>+13477127929</t>
  </si>
  <si>
    <t>Tasbir Zayan</t>
  </si>
  <si>
    <t>Abdul Kuddus Chowdhury</t>
  </si>
  <si>
    <t>31743 Wixon Dr</t>
  </si>
  <si>
    <t>mahfujulhaque2007@gmail.com</t>
  </si>
  <si>
    <t>Umar Haque</t>
  </si>
  <si>
    <t>Mahfujul Haque</t>
  </si>
  <si>
    <t>Zahra Haque</t>
  </si>
  <si>
    <t>Ali Ahmed</t>
  </si>
  <si>
    <t>23340 Curie St</t>
  </si>
  <si>
    <t>faheedmatin@gmail.com</t>
  </si>
  <si>
    <t>Hammad Yameen</t>
  </si>
  <si>
    <t>Faheed Matin</t>
  </si>
  <si>
    <t>Mahfusa Hoque Lubna</t>
  </si>
  <si>
    <t>25723 Masch Ave</t>
  </si>
  <si>
    <t>shuaib4248@gmail.com</t>
  </si>
  <si>
    <t>Shuaib Islam</t>
  </si>
  <si>
    <t>Shaiful Islam</t>
  </si>
  <si>
    <t>Shamina Akther</t>
  </si>
  <si>
    <t>Aman Islam</t>
  </si>
  <si>
    <t>Wahidul Islam</t>
  </si>
  <si>
    <t>Mahidul Islam</t>
  </si>
  <si>
    <t>26141 Cunningham Dr</t>
  </si>
  <si>
    <t>Yousuf Abdullah</t>
  </si>
  <si>
    <t>Shamsul Islam</t>
  </si>
  <si>
    <t>Tahera Rimu</t>
  </si>
  <si>
    <t>3835 Madox Dr</t>
  </si>
  <si>
    <t>Aaryan Razzak</t>
  </si>
  <si>
    <t>MD Abdur Razzak</t>
  </si>
  <si>
    <t>Shahina Razzak</t>
  </si>
  <si>
    <t>25571 Curie Ave</t>
  </si>
  <si>
    <t>uddinzakir21@gmail.com</t>
  </si>
  <si>
    <t>Mohammed Zihad Uddin</t>
  </si>
  <si>
    <t>Mohammed Zakir Uddin</t>
  </si>
  <si>
    <t>Rebeka Begum</t>
  </si>
  <si>
    <t>Yahya Zakariya Alhariri</t>
  </si>
  <si>
    <t>Noah Zakariya Alhariri</t>
  </si>
  <si>
    <t>18785 Rockwell St, Macomb</t>
  </si>
  <si>
    <t>Shayaan Rahman</t>
  </si>
  <si>
    <t>Akhlasur Rahman</t>
  </si>
  <si>
    <t>Tahmina Chowdhury</t>
  </si>
  <si>
    <t>4321 Bonning Ave</t>
  </si>
  <si>
    <t>Janzabil Rashid</t>
  </si>
  <si>
    <t>Rashidul Lablu</t>
  </si>
  <si>
    <t>Rima Begum Chowdhury</t>
  </si>
  <si>
    <t>49558 Bloomsbury Ln, Maccomb</t>
  </si>
  <si>
    <t>Rahilur Rahman</t>
  </si>
  <si>
    <t>Waheedur Rahman</t>
  </si>
  <si>
    <t>Ruzi Begum</t>
  </si>
  <si>
    <t>Arham Ahmed</t>
  </si>
  <si>
    <t>Maahin Ahmed</t>
  </si>
  <si>
    <t>Shabib Islam</t>
  </si>
  <si>
    <t>24856 Blackmar Ave</t>
  </si>
  <si>
    <t>Safwat Aman</t>
  </si>
  <si>
    <t>Akthar Uzzaman</t>
  </si>
  <si>
    <t>Shahida Aktar</t>
  </si>
  <si>
    <t>27585 Parkview Blvd</t>
  </si>
  <si>
    <t>Aaron Hossain</t>
  </si>
  <si>
    <t>Mohammad Hossain</t>
  </si>
  <si>
    <t>Shanaz Begum</t>
  </si>
  <si>
    <t>Raiyaan Ahmed</t>
  </si>
  <si>
    <t>13350 Yvonne Dr</t>
  </si>
  <si>
    <t>Imran Aziz Adyan</t>
  </si>
  <si>
    <t>Foysol Aziz</t>
  </si>
  <si>
    <t>Saheda Begum</t>
  </si>
  <si>
    <t>Labib Aftab</t>
  </si>
  <si>
    <t>4279 Bonning Ave</t>
  </si>
  <si>
    <t>colcibegun771@gmail.com</t>
  </si>
  <si>
    <t>Mansif Koysor</t>
  </si>
  <si>
    <t>MD Khairul Islam Koysor</t>
  </si>
  <si>
    <t>Eimrana Afaz Shibly</t>
  </si>
  <si>
    <t>Adam Musaid</t>
  </si>
  <si>
    <t>Fairoz</t>
  </si>
  <si>
    <t>Yousuf Nazim</t>
  </si>
  <si>
    <t>23808 Karen Ave</t>
  </si>
  <si>
    <t>Shakir Khan</t>
  </si>
  <si>
    <t>Mahfuj Chowdhury</t>
  </si>
  <si>
    <t>Sabera Khan</t>
  </si>
  <si>
    <t>Shamir Khan</t>
  </si>
  <si>
    <t>13857 Frazho Rd</t>
  </si>
  <si>
    <t>Arham Rahman</t>
  </si>
  <si>
    <t>Sahajanur Sajon</t>
  </si>
  <si>
    <t>Refa Begum</t>
  </si>
  <si>
    <t>Muhammad Ahad Abid</t>
  </si>
  <si>
    <t>Ayman</t>
  </si>
  <si>
    <t>Sulaiman Hussain Usman</t>
  </si>
  <si>
    <t>Shahadat Miraj</t>
  </si>
  <si>
    <t>Fathema Johura</t>
  </si>
  <si>
    <t>Labib Choudhury</t>
  </si>
  <si>
    <t>KAZI YASEEN AHMED</t>
  </si>
  <si>
    <t>KAZI MUKTADIR AHMED</t>
  </si>
  <si>
    <t>AKTER NAHER LUPA</t>
  </si>
  <si>
    <t>MOHAMED ALHARIRI</t>
  </si>
  <si>
    <t>L-1(?)</t>
  </si>
  <si>
    <t>NURUL HUDA CHOUDHURY</t>
  </si>
  <si>
    <t>NURUZZAMAN CHOUDHURY</t>
  </si>
  <si>
    <t>SHAHINA CHOUDHURY</t>
  </si>
  <si>
    <t>Siyam Kasam</t>
  </si>
  <si>
    <t>Abul Kasam</t>
  </si>
  <si>
    <t>Shamima Akter</t>
  </si>
  <si>
    <t>Month</t>
  </si>
  <si>
    <t>Department</t>
  </si>
  <si>
    <t>Year</t>
  </si>
  <si>
    <t>Weekend</t>
  </si>
  <si>
    <t>RN</t>
  </si>
  <si>
    <t>Father name</t>
  </si>
  <si>
    <r>
      <t xml:space="preserve">3 = </t>
    </r>
    <r>
      <rPr>
        <b/>
        <sz val="11"/>
        <color rgb="FF00B050"/>
        <rFont val="Calibri"/>
        <family val="2"/>
        <scheme val="minor"/>
      </rPr>
      <t>✓</t>
    </r>
    <r>
      <rPr>
        <sz val="11"/>
        <color theme="1"/>
        <rFont val="Calibri"/>
        <family val="2"/>
        <scheme val="minor"/>
      </rPr>
      <t xml:space="preserve">Present, </t>
    </r>
    <r>
      <rPr>
        <b/>
        <sz val="11"/>
        <color rgb="FF00B050"/>
        <rFont val="Calibri"/>
        <family val="2"/>
        <scheme val="minor"/>
      </rPr>
      <t>✓</t>
    </r>
    <r>
      <rPr>
        <sz val="11"/>
        <color theme="1"/>
        <rFont val="Calibri"/>
        <family val="2"/>
        <scheme val="minor"/>
      </rPr>
      <t xml:space="preserve">Report, </t>
    </r>
    <r>
      <rPr>
        <b/>
        <sz val="11"/>
        <color rgb="FF00B050"/>
        <rFont val="Calibri"/>
        <family val="2"/>
        <scheme val="minor"/>
      </rPr>
      <t>✓</t>
    </r>
    <r>
      <rPr>
        <sz val="11"/>
        <color theme="1"/>
        <rFont val="Calibri"/>
        <family val="2"/>
        <scheme val="minor"/>
      </rPr>
      <t xml:space="preserve">Signed
2 = </t>
    </r>
    <r>
      <rPr>
        <b/>
        <sz val="11"/>
        <color rgb="FF00B050"/>
        <rFont val="Calibri"/>
        <family val="2"/>
        <scheme val="minor"/>
      </rPr>
      <t>✓</t>
    </r>
    <r>
      <rPr>
        <sz val="11"/>
        <color theme="1"/>
        <rFont val="Calibri"/>
        <family val="2"/>
        <scheme val="minor"/>
      </rPr>
      <t xml:space="preserve">Present, </t>
    </r>
    <r>
      <rPr>
        <b/>
        <sz val="11"/>
        <color rgb="FF00B050"/>
        <rFont val="Calibri"/>
        <family val="2"/>
        <scheme val="minor"/>
      </rPr>
      <t>✓</t>
    </r>
    <r>
      <rPr>
        <sz val="11"/>
        <color theme="1"/>
        <rFont val="Calibri"/>
        <family val="2"/>
        <scheme val="minor"/>
      </rPr>
      <t xml:space="preserve">Report, </t>
    </r>
    <r>
      <rPr>
        <b/>
        <sz val="11"/>
        <color rgb="FFFF0000"/>
        <rFont val="Calibri"/>
        <family val="2"/>
        <scheme val="minor"/>
      </rPr>
      <t>✖</t>
    </r>
    <r>
      <rPr>
        <sz val="11"/>
        <color theme="1"/>
        <rFont val="Calibri"/>
        <family val="2"/>
        <scheme val="minor"/>
      </rPr>
      <t xml:space="preserve">Signed
1 = </t>
    </r>
    <r>
      <rPr>
        <b/>
        <sz val="11"/>
        <color rgb="FF00B050"/>
        <rFont val="Calibri"/>
        <family val="2"/>
        <scheme val="minor"/>
      </rPr>
      <t>✓</t>
    </r>
    <r>
      <rPr>
        <sz val="11"/>
        <color theme="1"/>
        <rFont val="Calibri"/>
        <family val="2"/>
        <scheme val="minor"/>
      </rPr>
      <t xml:space="preserve">Present, </t>
    </r>
    <r>
      <rPr>
        <b/>
        <sz val="11"/>
        <color rgb="FFFF0000"/>
        <rFont val="Calibri"/>
        <family val="2"/>
        <scheme val="minor"/>
      </rPr>
      <t>✖</t>
    </r>
    <r>
      <rPr>
        <sz val="11"/>
        <color theme="1"/>
        <rFont val="Calibri"/>
        <family val="2"/>
        <scheme val="minor"/>
      </rPr>
      <t xml:space="preserve">Report, </t>
    </r>
    <r>
      <rPr>
        <b/>
        <sz val="11"/>
        <color rgb="FFFF0000"/>
        <rFont val="Calibri"/>
        <family val="2"/>
        <scheme val="minor"/>
      </rPr>
      <t>✖</t>
    </r>
    <r>
      <rPr>
        <sz val="11"/>
        <color theme="1"/>
        <rFont val="Calibri"/>
        <family val="2"/>
        <scheme val="minor"/>
      </rPr>
      <t>Signed
"•" = Absent</t>
    </r>
  </si>
  <si>
    <t>Score</t>
  </si>
  <si>
    <t>Present</t>
  </si>
  <si>
    <t>Report Brought</t>
  </si>
  <si>
    <t>Report Signed</t>
  </si>
  <si>
    <t>No</t>
  </si>
  <si>
    <t>.</t>
  </si>
  <si>
    <t>Cell</t>
  </si>
  <si>
    <t>Value</t>
  </si>
  <si>
    <t>Variable Name</t>
  </si>
  <si>
    <t>Purpose</t>
  </si>
  <si>
    <t>Departments</t>
  </si>
  <si>
    <t>January</t>
  </si>
  <si>
    <t>Level Name</t>
  </si>
  <si>
    <t>Teacher</t>
  </si>
  <si>
    <t>Shift</t>
  </si>
  <si>
    <t>sheet name</t>
  </si>
  <si>
    <t>studentdata</t>
  </si>
  <si>
    <t>Ascending</t>
  </si>
  <si>
    <t>Group Name (W)</t>
  </si>
  <si>
    <t>Day 1 (X)</t>
  </si>
  <si>
    <t>Day 2 (Y)</t>
  </si>
  <si>
    <t>Day 3 (Z)</t>
  </si>
  <si>
    <t>Day 4 (AA)</t>
  </si>
  <si>
    <t>B2</t>
  </si>
  <si>
    <t>dataSheetName</t>
  </si>
  <si>
    <t>Name of the sheet containing student data.</t>
  </si>
  <si>
    <t>Evening</t>
  </si>
  <si>
    <t>February</t>
  </si>
  <si>
    <t>Juz Amma</t>
  </si>
  <si>
    <t>Raesa Chowdhury</t>
  </si>
  <si>
    <t>table name</t>
  </si>
  <si>
    <t>B3</t>
  </si>
  <si>
    <t>reportcard template</t>
  </si>
  <si>
    <t>reportSheetName</t>
  </si>
  <si>
    <t>Name of the sheet containing the report card template.</t>
  </si>
  <si>
    <t>March</t>
  </si>
  <si>
    <t>Habiba Islam</t>
  </si>
  <si>
    <t>B4</t>
  </si>
  <si>
    <t>lastDataRow</t>
  </si>
  <si>
    <t>Last row number of student data (must be numeric).</t>
  </si>
  <si>
    <t>Wkn + Eve</t>
  </si>
  <si>
    <t>April</t>
  </si>
  <si>
    <t>Humayra Sumaiya</t>
  </si>
  <si>
    <t>Summer</t>
  </si>
  <si>
    <t>B5</t>
  </si>
  <si>
    <t>A1:P10</t>
  </si>
  <si>
    <t>templateRangeString</t>
  </si>
  <si>
    <t>Range of the report card template (e.g., "A1:J9").</t>
  </si>
  <si>
    <t>May</t>
  </si>
  <si>
    <t>Umaiza Hussain</t>
  </si>
  <si>
    <t>B6</t>
  </si>
  <si>
    <t>S1</t>
  </si>
  <si>
    <t>controlCellAddress</t>
  </si>
  <si>
    <t>Cell address used to update the student row number dynamically (e.g., "K1").</t>
  </si>
  <si>
    <t>June</t>
  </si>
  <si>
    <t>1B</t>
  </si>
  <si>
    <t>Samiha Rahman</t>
  </si>
  <si>
    <t>B7</t>
  </si>
  <si>
    <t>outputs</t>
  </si>
  <si>
    <t>outputSheetName</t>
  </si>
  <si>
    <t>Name of the sheet where consolidated report cards will be stored.</t>
  </si>
  <si>
    <t>July</t>
  </si>
  <si>
    <t>Fahmidah Aniqah</t>
  </si>
  <si>
    <t>B8</t>
  </si>
  <si>
    <t>firstDataRow</t>
  </si>
  <si>
    <t>First row number of student data (must be numeric).</t>
  </si>
  <si>
    <t>August</t>
  </si>
  <si>
    <t>Md Abdur Rashid</t>
  </si>
  <si>
    <t>B9</t>
  </si>
  <si>
    <t>A1</t>
  </si>
  <si>
    <t>outputStartCellAddress</t>
  </si>
  <si>
    <t>Starting cell for pasting report cards on the output sheet (e.g., "L20").</t>
  </si>
  <si>
    <t>September</t>
  </si>
  <si>
    <t>Sayem Ahmed Chowdhury</t>
  </si>
  <si>
    <t>B10</t>
  </si>
  <si>
    <t>Student RN Column</t>
  </si>
  <si>
    <t>October</t>
  </si>
  <si>
    <t>Tarif Ahmed Nasar</t>
  </si>
  <si>
    <t>B11</t>
  </si>
  <si>
    <t>Vertical</t>
  </si>
  <si>
    <t>Layout Type</t>
  </si>
  <si>
    <t>Horizontal</t>
  </si>
  <si>
    <t>November</t>
  </si>
  <si>
    <t>Tahmidur R. Kawser</t>
  </si>
  <si>
    <t>B12</t>
  </si>
  <si>
    <t>Row Increment</t>
  </si>
  <si>
    <t>December</t>
  </si>
  <si>
    <t>Adannan Chowdhury</t>
  </si>
  <si>
    <t>B13</t>
  </si>
  <si>
    <t>Level Column Index</t>
  </si>
  <si>
    <t>MD Ahmedur Rahman</t>
  </si>
  <si>
    <t>2025-2026 Semester 2 - Mid Term (Jan - Mar)</t>
  </si>
  <si>
    <t>Name:</t>
  </si>
  <si>
    <t>SN:</t>
  </si>
  <si>
    <t>Lev:</t>
  </si>
  <si>
    <t>RG:</t>
  </si>
  <si>
    <t>reportcards</t>
  </si>
  <si>
    <t>Quran/Qaida reading 
(20 points)</t>
  </si>
  <si>
    <t>Comment</t>
  </si>
  <si>
    <t>settings</t>
  </si>
  <si>
    <t>Surah memorization 
(20 points)</t>
  </si>
  <si>
    <t>Duaa memorization 
(20 points)</t>
  </si>
  <si>
    <t>Islamic studies/Fiqh 
(20 points)</t>
  </si>
  <si>
    <t>Mannerism 
(20 points)</t>
  </si>
  <si>
    <t>Total 
(Out of 100)</t>
  </si>
  <si>
    <t>Teacher:</t>
  </si>
  <si>
    <t>Parent Signature:</t>
  </si>
  <si>
    <t>Comment:</t>
  </si>
  <si>
    <t>IQRA ACADEMY OF MICHIGAN</t>
  </si>
  <si>
    <t xml:space="preserve">24703 Ryan Road, Warren, MI 48091
Tel (586) 298-1198
www.icwweb.org </t>
  </si>
  <si>
    <t>Assalamu Alaikum wa Rahmatullah,
Dear Respected Parents,
All praise is due to Allah (SWT). Thank you for choosing IQRA Academy for your child’s Islamic education. Please review the important dates below:</t>
  </si>
  <si>
    <t>📅 Event</t>
  </si>
  <si>
    <t>Date(s)</t>
  </si>
  <si>
    <t>Day(s)</t>
  </si>
  <si>
    <t>Time</t>
  </si>
  <si>
    <t>Final Exams</t>
  </si>
  <si>
    <t>Aug 19 &amp; 20</t>
  </si>
  <si>
    <t>Tue &amp; Wed</t>
  </si>
  <si>
    <t>Regular class time</t>
  </si>
  <si>
    <t>Completion Ceremony</t>
  </si>
  <si>
    <t>Sunday</t>
  </si>
  <si>
    <t>10:00 AM – 2:00 PM</t>
  </si>
  <si>
    <t>Weekend School Resumes</t>
  </si>
  <si>
    <t>Saturday</t>
  </si>
  <si>
    <t>Sat–Sun, 9:30 AM–1:30 PM</t>
  </si>
  <si>
    <t>Evening School Resumes</t>
  </si>
  <si>
    <t>Tuesday</t>
  </si>
  <si>
    <t>Mon–Thu, 6:00–8:00 PM</t>
  </si>
  <si>
    <t>🎉 Parents are invited to the ceremony. Bouncy house and refreshments provided!</t>
  </si>
  <si>
    <t>আসসালামু আলাইকুম ওয়া রাহমাতুল্লাহ,
শ্রদ্ধেয় অভিভাবকবৃন্দ,
আলহামদুলিল্লাহ, আপনার সন্তানের ইসলামী শিক্ষার জন্য ইক্বরা অ্যাকাডেমিকে নির্বাচিত করায় ধন্যবাদ। নিচের গুরুত্বপূর্ণ তারিখগুলো লক্ষ্য করুন:</t>
  </si>
  <si>
    <t>📅 ইভেন্ট</t>
  </si>
  <si>
    <t>তারিখ</t>
  </si>
  <si>
    <t>বার</t>
  </si>
  <si>
    <t>সময়</t>
  </si>
  <si>
    <t>সমাপনি পরীক্ষা</t>
  </si>
  <si>
    <t>১৯ ও ২০ আগস্ট</t>
  </si>
  <si>
    <t>মঙ্গল ও বুধ</t>
  </si>
  <si>
    <t>নিয়মিত ক্লাস সময়</t>
  </si>
  <si>
    <t>সমাপ্তি অনুষ্ঠান</t>
  </si>
  <si>
    <t>২৪ আগস্ট</t>
  </si>
  <si>
    <t>রবিবার</t>
  </si>
  <si>
    <t>সকাল ১০:০০ – দুপুর ২:০০</t>
  </si>
  <si>
    <t>উইকেন্দ স্কুল শুরু</t>
  </si>
  <si>
    <t>৬ সেপ্টেম্বর</t>
  </si>
  <si>
    <t>শনিবার</t>
  </si>
  <si>
    <t>শনি–রবি, সকাল ৯:৩০–১:৩০</t>
  </si>
  <si>
    <t>ইভিনিং স্কুল শুরু</t>
  </si>
  <si>
    <t>২ সেপ্টেম্বর</t>
  </si>
  <si>
    <t>মঙ্গলবার</t>
  </si>
  <si>
    <t>সোম–বৃহস্পতি, সন্ধ্যা ৬–৮</t>
  </si>
  <si>
    <t>🎉 সমাপনি অনুষ্ঠানে আপনাকে আমন্ত্রণ জানানো হচ্ছে। বাউন্সি হাউস ও আপ্যায়নের ব্যবস্থা থাকবে।</t>
  </si>
  <si>
    <t>"</t>
  </si>
  <si>
    <t>-</t>
  </si>
  <si>
    <t>Enrollment Confirmation – Please Complete and Return</t>
  </si>
  <si>
    <t>To help us finalize class rosters:
- Choose Weekend School, Evening School, or both
- Cut off this section
- Return it with your child by next week</t>
  </si>
  <si>
    <t>ক্লাস তালিকা চূড়ান্ত করতে আমাদের সহায়তা করুন:
- উইকেন্দ ইভিনিং, অথবা উভয় প্রোগ্রাম নির্বাচন করুন
- এই অংশটি কেটে দিন
- আগামী সপ্তাহে সন্তানের সাথে ফেরত দিন</t>
  </si>
  <si>
    <t>RN:</t>
  </si>
  <si>
    <t>Father Name:</t>
  </si>
  <si>
    <t>Mother Name:</t>
  </si>
  <si>
    <t>Father Phone:</t>
  </si>
  <si>
    <t>Mother Phone:</t>
  </si>
  <si>
    <t xml:space="preserve"> Weekend School (Sat–Sun, 9:30 AM–1:30 PM)</t>
  </si>
  <si>
    <t xml:space="preserve"> Evening School (Mon–Thu, 6–8 PM)</t>
  </si>
  <si>
    <t xml:space="preserve"> Both</t>
  </si>
  <si>
    <t xml:space="preserve"> Not returning</t>
  </si>
  <si>
    <t>Lesson/Juz/Surah/Ayah/Islamic Studies</t>
  </si>
  <si>
    <t>Behavior</t>
  </si>
  <si>
    <t>Homework (Teachers: check the box if completed)</t>
  </si>
  <si>
    <t>Parent signature</t>
  </si>
  <si>
    <t>SAA</t>
  </si>
  <si>
    <t>24703 Ryan Road, Warren, MI 48091</t>
  </si>
  <si>
    <t>(586) 298-1198</t>
  </si>
  <si>
    <t>www.icwweb.org</t>
  </si>
  <si>
    <t>Student Name</t>
  </si>
  <si>
    <t>Mother name</t>
  </si>
  <si>
    <t>Gender:</t>
  </si>
  <si>
    <t>Father cell:</t>
  </si>
  <si>
    <t>Mother cell:</t>
  </si>
  <si>
    <t>Please take good care of this folder. 
If it is lost or damaged, a new one will cost $5.00</t>
  </si>
  <si>
    <r>
      <t xml:space="preserve">অনুগ্রহ করে ফোল্ডারটি ভালোভাবে রাখুন। 
হারিয়ে গেলে বা নষ্ট হলে, নতুন ফোল্ডার নিতে </t>
    </r>
    <r>
      <rPr>
        <b/>
        <sz val="13"/>
        <rFont val="Calibri"/>
        <family val="2"/>
        <scheme val="minor"/>
      </rPr>
      <t>$৫.00</t>
    </r>
    <r>
      <rPr>
        <sz val="13"/>
        <rFont val="Calibri"/>
        <family val="2"/>
        <scheme val="minor"/>
      </rPr>
      <t xml:space="preserve"> লাগবে।</t>
    </r>
  </si>
  <si>
    <t>PROGRESS REPORT</t>
  </si>
  <si>
    <r>
      <rPr>
        <b/>
        <i/>
        <sz val="8"/>
        <color theme="1"/>
        <rFont val="Calibri"/>
        <family val="2"/>
        <scheme val="minor"/>
      </rPr>
      <t>Instructions</t>
    </r>
    <r>
      <rPr>
        <i/>
        <sz val="8"/>
        <color theme="1"/>
        <rFont val="Calibri"/>
        <family val="2"/>
        <scheme val="minor"/>
      </rPr>
      <t xml:space="preserve">
Keep both fields brief, specific, and progress-focused—state what the student knows now and what they should achieve next.</t>
    </r>
  </si>
  <si>
    <r>
      <rPr>
        <b/>
        <sz val="8"/>
        <color theme="1"/>
        <rFont val="Aptos Narrow"/>
        <family val="2"/>
      </rPr>
      <t xml:space="preserve"> Current Status</t>
    </r>
    <r>
      <rPr>
        <sz val="8"/>
        <color theme="1"/>
        <rFont val="Aptos Narrow"/>
        <family val="2"/>
      </rPr>
      <t xml:space="preserve">
</t>
    </r>
    <r>
      <rPr>
        <i/>
        <sz val="8"/>
        <color theme="1"/>
        <rFont val="Aptos Narrow"/>
        <family val="2"/>
      </rPr>
      <t>Example:
Starting Qaida lesson 4, reads fluently with support, hasn’t learned tajweed, struggles with independent fluency, memorized up to Surah Al-Qadr, etc.</t>
    </r>
  </si>
  <si>
    <r>
      <rPr>
        <b/>
        <sz val="8"/>
        <color theme="1"/>
        <rFont val="Aptos Narrow"/>
        <family val="2"/>
      </rPr>
      <t>Next Semester Goal</t>
    </r>
    <r>
      <rPr>
        <sz val="8"/>
        <color theme="1"/>
        <rFont val="Aptos Narrow"/>
        <family val="2"/>
      </rPr>
      <t xml:space="preserve">
</t>
    </r>
    <r>
      <rPr>
        <i/>
        <sz val="8"/>
        <color theme="1"/>
        <rFont val="Aptos Narrow"/>
        <family val="2"/>
      </rPr>
      <t>Example:</t>
    </r>
    <r>
      <rPr>
        <sz val="8"/>
        <color theme="1"/>
        <rFont val="Aptos Narrow"/>
        <family val="2"/>
      </rPr>
      <t xml:space="preserve">
</t>
    </r>
    <r>
      <rPr>
        <i/>
        <sz val="8"/>
        <color theme="1"/>
        <rFont val="Aptos Narrow"/>
        <family val="2"/>
      </rPr>
      <t>Finish Qaida, begin short surahs, learn and apply basic tajweed, read fluently without help, memorize Surah Al-Bayyinah to Al-A’la, etc</t>
    </r>
  </si>
  <si>
    <t>Quran reading quality 
(20 points)</t>
  </si>
  <si>
    <t>Total (Out of 100)</t>
  </si>
  <si>
    <r>
      <rPr>
        <b/>
        <sz val="8"/>
        <color theme="1"/>
        <rFont val="Aptos Narrow"/>
        <family val="2"/>
      </rPr>
      <t>Current Status and Next Semester Goal</t>
    </r>
    <r>
      <rPr>
        <b/>
        <u/>
        <sz val="8"/>
        <color theme="1"/>
        <rFont val="Aptos Narrow"/>
        <family val="2"/>
      </rPr>
      <t xml:space="preserve">
</t>
    </r>
    <r>
      <rPr>
        <b/>
        <i/>
        <u/>
        <sz val="8"/>
        <color theme="1"/>
        <rFont val="Aptos Narrow"/>
        <family val="2"/>
      </rPr>
      <t>Example:</t>
    </r>
    <r>
      <rPr>
        <sz val="8"/>
        <color theme="1"/>
        <rFont val="Aptos Narrow"/>
        <family val="2"/>
      </rPr>
      <t xml:space="preserve">
</t>
    </r>
    <r>
      <rPr>
        <i/>
        <sz val="8"/>
        <color theme="1"/>
        <rFont val="Aptos Narrow"/>
        <family val="2"/>
      </rPr>
      <t>1. Qaida Lesson 4; reads with support; no tajweed; needs independent fluency; memorized to Al‑Qadr.
2. Finish Qaida; start short surahs; learn basic tajweed; read independently; memorize Al‑Bayyinah–Al‑A’la.</t>
    </r>
  </si>
  <si>
    <t>Tazrin Haque Ooma</t>
  </si>
  <si>
    <t>Md Tozammel Haque</t>
  </si>
  <si>
    <t>Mst. Progga Laboni</t>
  </si>
  <si>
    <t xml:space="preserve"> </t>
  </si>
  <si>
    <t>Waheebah Hussain</t>
  </si>
  <si>
    <t>Muhammad Hussain</t>
  </si>
  <si>
    <t>Toheda Parvin</t>
  </si>
  <si>
    <t xml:space="preserve">A5 HAS THIS
=FILTER(
    SEQUENCE(AS5-AQ5+1,,AQ5),
    IF(
        AT5="Weekend",
        WEEKDAY(SEQUENCE(AS5-AQ5+1,,AQ5),2)&gt;5,
        IF(
            AT5="Weekday",
            WEEKDAY(SEQUENCE(AS5-AQ5+1,,AQ5),2)&lt;6,
            IF(
                AT5="Evening",
                WEEKDAY(SEQUENCE(AS5-AQ5+1,,AQ5),2)&lt;=4,
                TRUE
            )
        )
    )
)
RSTU 5 IS MERGED AND HAS THIS
"☐ Satisfactory
☐ Unsatisfactory
☐ Excellent"			
and that row from a </t>
  </si>
  <si>
    <t>Jannat Rihaana</t>
  </si>
  <si>
    <t>Mizan Rahman</t>
  </si>
  <si>
    <t>Mazeda Begum</t>
  </si>
  <si>
    <t>Ahmedur Rahman</t>
  </si>
  <si>
    <t>Shamima Rahman</t>
  </si>
  <si>
    <t>Kimiya Shahadat Azam</t>
  </si>
  <si>
    <t>Mohammad Shafiul Azam</t>
  </si>
  <si>
    <t>Nabila Arifin</t>
  </si>
  <si>
    <t>Keyaan Azam</t>
  </si>
  <si>
    <t>Ayesha Rahman</t>
  </si>
  <si>
    <t>Saifur Rahman</t>
  </si>
  <si>
    <t>Ema Begum</t>
  </si>
  <si>
    <t>Arshan Rahman</t>
  </si>
  <si>
    <t>Kaifa Eshal</t>
  </si>
  <si>
    <t>KIM</t>
  </si>
  <si>
    <t>Morning</t>
  </si>
  <si>
    <t>Summer 2026 Hiring</t>
  </si>
  <si>
    <t>Ali Hussen</t>
  </si>
  <si>
    <t>Row Labels</t>
  </si>
  <si>
    <t>Summer Islamic School
Parent Newsletter
Date: Tuesday, May 10,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</si>
</sst>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mmmm"/>
    <numFmt numFmtId="165" formatCode="m/d;@"/>
    <numFmt numFmtId="166" formatCode="mmm\ yyyy"/>
    <numFmt numFmtId="167" formatCode="mmm"/>
  </numFmts>
  <fonts count="55" x14ac:knownFonts="1">
    <font>
      <sz val="11"/>
      <color theme="1"/>
      <name val="Calibri"/>
      <family val="2"/>
      <scheme val="minor"/>
    </font>
    <font>
      <sz val="10"/>
      <color theme="1"/>
      <name val="Calibri"/>
      <family val="2"/>
      <scheme val="minor"/>
    </font>
    <font>
      <b/>
      <sz val="11"/>
      <color theme="1"/>
      <name val="Calibri"/>
      <family val="2"/>
      <scheme val="minor"/>
    </font>
    <font>
      <u/>
      <sz val="11"/>
      <color theme="10"/>
      <name val="Calibri"/>
      <family val="2"/>
      <scheme val="minor"/>
    </font>
    <font>
      <b/>
      <sz val="12"/>
      <color theme="1"/>
      <name val="Aptos Narrow"/>
      <family val="2"/>
    </font>
    <font>
      <sz val="12"/>
      <color theme="1"/>
      <name val="Calibri"/>
      <family val="2"/>
      <scheme val="minor"/>
    </font>
    <font>
      <b/>
      <sz val="12"/>
      <color theme="1"/>
      <name val="Calibri"/>
      <family val="2"/>
      <scheme val="minor"/>
    </font>
    <font>
      <sz val="11"/>
      <color rgb="FF000000"/>
      <name val="Calibri"/>
      <family val="2"/>
    </font>
    <font>
      <sz val="26"/>
      <color theme="1"/>
      <name val="Calibri"/>
      <family val="2"/>
      <scheme val="minor"/>
    </font>
    <font>
      <b/>
      <sz val="26"/>
      <color theme="1"/>
      <name val="Calibri"/>
      <family val="2"/>
      <scheme val="minor"/>
    </font>
    <font>
      <sz val="12"/>
      <color theme="1"/>
      <name val="Aptos Narrow"/>
      <family val="2"/>
    </font>
    <font>
      <i/>
      <sz val="12"/>
      <color theme="1"/>
      <name val="Book Antiqua"/>
      <family val="1"/>
    </font>
    <font>
      <i/>
      <sz val="12"/>
      <color theme="1"/>
      <name val="Calibri"/>
      <family val="2"/>
      <scheme val="minor"/>
    </font>
    <font>
      <u/>
      <sz val="12"/>
      <color theme="10"/>
      <name val="Calibri"/>
      <family val="2"/>
      <scheme val="minor"/>
    </font>
    <font>
      <sz val="12"/>
      <name val="Aptos Narrow"/>
      <family val="2"/>
    </font>
    <font>
      <b/>
      <u/>
      <sz val="12"/>
      <color theme="1"/>
      <name val="Calibri"/>
      <family val="2"/>
      <scheme val="minor"/>
    </font>
    <font>
      <b/>
      <sz val="28"/>
      <color theme="1"/>
      <name val="Calibri"/>
      <family val="2"/>
      <scheme val="minor"/>
    </font>
    <font>
      <sz val="16"/>
      <color theme="1"/>
      <name val="Wingdings"/>
      <charset val="2"/>
    </font>
    <font>
      <sz val="8"/>
      <name val="Calibri"/>
      <family val="2"/>
      <scheme val="minor"/>
    </font>
    <font>
      <sz val="9"/>
      <color theme="1"/>
      <name val="Calibri"/>
      <family val="2"/>
      <scheme val="minor"/>
    </font>
    <font>
      <sz val="11"/>
      <name val="Calibri"/>
      <family val="2"/>
      <scheme val="minor"/>
    </font>
    <font>
      <sz val="12"/>
      <name val="Calibri"/>
      <family val="2"/>
      <scheme val="minor"/>
    </font>
    <font>
      <u/>
      <sz val="12"/>
      <name val="Calibri"/>
      <family val="2"/>
      <scheme val="minor"/>
    </font>
    <font>
      <b/>
      <sz val="12"/>
      <name val="Calibri"/>
      <family val="2"/>
      <scheme val="minor"/>
    </font>
    <font>
      <sz val="36"/>
      <name val="Calibri"/>
      <family val="2"/>
      <scheme val="minor"/>
    </font>
    <font>
      <sz val="24"/>
      <name val="Calibri"/>
      <family val="2"/>
      <scheme val="minor"/>
    </font>
    <font>
      <sz val="10"/>
      <name val="Calibri"/>
      <family val="2"/>
      <scheme val="minor"/>
    </font>
    <font>
      <sz val="22"/>
      <color theme="1"/>
      <name val="Calibri"/>
      <family val="2"/>
      <scheme val="minor"/>
    </font>
    <font>
      <b/>
      <sz val="11"/>
      <color theme="0"/>
      <name val="Calibri"/>
      <family val="2"/>
      <scheme val="minor"/>
    </font>
    <font>
      <b/>
      <i/>
      <sz val="12"/>
      <name val="Calibri"/>
      <family val="2"/>
      <scheme val="minor"/>
    </font>
    <font>
      <i/>
      <sz val="12"/>
      <name val="Calibri"/>
      <family val="2"/>
      <scheme val="minor"/>
    </font>
    <font>
      <i/>
      <sz val="11"/>
      <color theme="1"/>
      <name val="Calibri"/>
      <family val="2"/>
      <scheme val="minor"/>
    </font>
    <font>
      <sz val="8"/>
      <color theme="1"/>
      <name val="Calibri"/>
      <family val="2"/>
      <scheme val="minor"/>
    </font>
    <font>
      <b/>
      <sz val="12"/>
      <name val="Calibri"/>
      <family val="2"/>
    </font>
    <font>
      <sz val="12"/>
      <color rgb="FF000000"/>
      <name val="Calibri"/>
      <family val="2"/>
    </font>
    <font>
      <sz val="13"/>
      <name val="Calibri"/>
      <family val="2"/>
      <scheme val="minor"/>
    </font>
    <font>
      <b/>
      <sz val="13"/>
      <name val="Calibri"/>
      <family val="2"/>
      <scheme val="minor"/>
    </font>
    <font>
      <sz val="9"/>
      <color indexed="81"/>
      <name val="Tahoma"/>
      <family val="2"/>
    </font>
    <font>
      <b/>
      <sz val="9"/>
      <color indexed="81"/>
      <name val="Tahoma"/>
      <family val="2"/>
    </font>
    <font>
      <sz val="10"/>
      <color theme="1"/>
      <name val="Aptos Narrow"/>
      <family val="2"/>
    </font>
    <font>
      <b/>
      <sz val="10"/>
      <color theme="1"/>
      <name val="Calibri"/>
      <family val="2"/>
      <scheme val="minor"/>
    </font>
    <font>
      <sz val="8"/>
      <color theme="1"/>
      <name val="Aptos Narrow"/>
      <family val="2"/>
    </font>
    <font>
      <i/>
      <sz val="8"/>
      <color theme="1"/>
      <name val="Aptos Narrow"/>
      <family val="2"/>
    </font>
    <font>
      <b/>
      <sz val="8"/>
      <color theme="1"/>
      <name val="Aptos Narrow"/>
      <family val="2"/>
    </font>
    <font>
      <i/>
      <sz val="8"/>
      <color theme="1"/>
      <name val="Calibri"/>
      <family val="2"/>
      <scheme val="minor"/>
    </font>
    <font>
      <b/>
      <i/>
      <sz val="8"/>
      <color theme="1"/>
      <name val="Calibri"/>
      <family val="2"/>
      <scheme val="minor"/>
    </font>
    <font>
      <b/>
      <u/>
      <sz val="8"/>
      <color theme="1"/>
      <name val="Aptos Narrow"/>
      <family val="2"/>
    </font>
    <font>
      <b/>
      <i/>
      <u/>
      <sz val="8"/>
      <color theme="1"/>
      <name val="Aptos Narrow"/>
      <family val="2"/>
    </font>
    <font>
      <b/>
      <i/>
      <sz val="8"/>
      <color theme="1"/>
      <name val="Arial Black"/>
      <family val="2"/>
    </font>
    <font>
      <b/>
      <sz val="11"/>
      <color rgb="FF00B050"/>
      <name val="Calibri"/>
      <family val="2"/>
      <scheme val="minor"/>
    </font>
    <font>
      <b/>
      <sz val="11"/>
      <color rgb="FFFF0000"/>
      <name val="Calibri"/>
      <family val="2"/>
      <scheme val="minor"/>
    </font>
    <font>
      <sz val="18"/>
      <color theme="1"/>
      <name val="Calibri"/>
      <family val="2"/>
      <scheme val="minor"/>
    </font>
    <font>
      <i/>
      <sz val="10"/>
      <color theme="1"/>
      <name val="Calibri"/>
      <family val="2"/>
      <scheme val="minor"/>
    </font>
    <font>
      <sz val="11"/>
      <color rgb="FF000000"/>
      <name val="Aptos Narrow"/>
      <family val="2"/>
    </font>
    <font>
      <sz val="14"/>
      <color theme="1"/>
      <name val="Calibri"/>
      <family val="2"/>
      <scheme val="minor"/>
    </font>
  </fonts>
  <fills count="16">
    <fill>
      <patternFill patternType="none"/>
    </fill>
    <fill>
      <patternFill patternType="gray125"/>
    </fill>
    <fill>
      <patternFill patternType="solid">
        <fgColor rgb="FFFFC000"/>
        <bgColor indexed="64"/>
      </patternFill>
    </fill>
    <fill>
      <patternFill patternType="solid">
        <fgColor rgb="FFB8CCE4"/>
        <bgColor indexed="64"/>
      </patternFill>
    </fill>
    <fill>
      <patternFill patternType="solid">
        <fgColor rgb="FFDCE6F1"/>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36">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bottom style="thin">
        <color auto="1"/>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right/>
      <top/>
      <bottom style="double">
        <color indexed="64"/>
      </bottom>
      <diagonal/>
    </border>
    <border>
      <left/>
      <right/>
      <top style="thin">
        <color indexed="64"/>
      </top>
      <bottom style="thin">
        <color auto="1"/>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style="thin">
        <color auto="1"/>
      </right>
      <top/>
      <bottom style="double">
        <color indexed="64"/>
      </bottom>
      <diagonal/>
    </border>
    <border>
      <left style="thin">
        <color indexed="64"/>
      </left>
      <right/>
      <top style="double">
        <color indexed="64"/>
      </top>
      <bottom style="thin">
        <color indexed="64"/>
      </bottom>
      <diagonal/>
    </border>
    <border>
      <left/>
      <right/>
      <top style="double">
        <color indexed="64"/>
      </top>
      <bottom/>
      <diagonal/>
    </border>
    <border>
      <left/>
      <right style="thin">
        <color indexed="64"/>
      </right>
      <top style="double">
        <color indexed="64"/>
      </top>
      <bottom/>
      <diagonal/>
    </border>
    <border>
      <left style="medium">
        <color rgb="FFFFFFFF"/>
      </left>
      <right style="medium">
        <color rgb="FFFFFFFF"/>
      </right>
      <top style="medium">
        <color rgb="FFFFFFFF"/>
      </top>
      <bottom style="medium">
        <color rgb="FFFFFFFF"/>
      </bottom>
      <diagonal/>
    </border>
    <border>
      <left style="medium">
        <color rgb="FFFFFFFF"/>
      </left>
      <right style="medium">
        <color rgb="FFFFFFFF"/>
      </right>
      <top/>
      <bottom style="medium">
        <color rgb="FFFFFFFF"/>
      </bottom>
      <diagonal/>
    </border>
    <border>
      <left style="medium">
        <color rgb="FFFFFFFF"/>
      </left>
      <right style="medium">
        <color rgb="FFFFFFFF"/>
      </right>
      <top/>
      <bottom/>
      <diagonal/>
    </border>
    <border>
      <left/>
      <right/>
      <top style="double">
        <color indexed="64"/>
      </top>
      <bottom style="thin">
        <color indexed="64"/>
      </bottom>
      <diagonal/>
    </border>
    <border>
      <left/>
      <right style="mediumDashed">
        <color indexed="64"/>
      </right>
      <top style="thin">
        <color auto="1"/>
      </top>
      <bottom/>
      <diagonal/>
    </border>
    <border>
      <left/>
      <right style="mediumDashed">
        <color indexed="64"/>
      </right>
      <top/>
      <bottom style="double">
        <color indexed="64"/>
      </bottom>
      <diagonal/>
    </border>
    <border>
      <left/>
      <right style="mediumDashed">
        <color indexed="64"/>
      </right>
      <top/>
      <bottom/>
      <diagonal/>
    </border>
    <border>
      <left/>
      <right style="mediumDashed">
        <color indexed="64"/>
      </right>
      <top/>
      <bottom style="thin">
        <color auto="1"/>
      </bottom>
      <diagonal/>
    </border>
    <border>
      <left/>
      <right style="mediumDashed">
        <color indexed="64"/>
      </right>
      <top style="double">
        <color indexed="64"/>
      </top>
      <bottom/>
      <diagonal/>
    </border>
    <border>
      <left style="mediumDashed">
        <color indexed="64"/>
      </left>
      <right/>
      <top style="double">
        <color indexed="64"/>
      </top>
      <bottom/>
      <diagonal/>
    </border>
    <border>
      <left style="mediumDashed">
        <color indexed="64"/>
      </left>
      <right/>
      <top/>
      <bottom/>
      <diagonal/>
    </border>
    <border>
      <left style="mediumDashed">
        <color indexed="64"/>
      </left>
      <right/>
      <top/>
      <bottom style="double">
        <color indexed="64"/>
      </bottom>
      <diagonal/>
    </border>
    <border>
      <left style="thin">
        <color rgb="FF000000"/>
      </left>
      <right/>
      <top/>
      <bottom/>
      <diagonal/>
    </border>
    <border>
      <left style="thin">
        <color auto="1"/>
      </left>
      <right style="thin">
        <color auto="1"/>
      </right>
      <top/>
      <bottom/>
      <diagonal/>
    </border>
    <border>
      <left style="thin">
        <color rgb="FF000000"/>
      </left>
      <right style="thin">
        <color rgb="FF000000"/>
      </right>
      <top/>
      <bottom/>
      <diagonal/>
    </border>
    <border>
      <left style="thin">
        <color auto="1"/>
      </left>
      <right style="thin">
        <color auto="1"/>
      </right>
      <top style="thin">
        <color auto="1"/>
      </top>
      <bottom/>
      <diagonal/>
    </border>
    <border>
      <left style="thin">
        <color indexed="64"/>
      </left>
      <right/>
      <top/>
      <bottom style="thin">
        <color indexed="64"/>
      </bottom>
      <diagonal/>
    </border>
  </borders>
  <cellStyleXfs count="2">
    <xf numFmtId="0" fontId="0" fillId="0" borderId="0"/>
    <xf numFmtId="0" fontId="3" fillId="0" borderId="0" applyNumberFormat="0" applyFill="0" applyBorder="0" applyAlignment="0" applyProtection="0"/>
  </cellStyleXfs>
  <cellXfs count="289">
    <xf numFmtId="0" fontId="0" fillId="0" borderId="0" xfId="0"/>
    <xf numFmtId="0" fontId="1" fillId="0" borderId="0" xfId="0" applyFont="1" applyAlignment="1">
      <alignment horizontal="left" vertical="center"/>
    </xf>
    <xf numFmtId="0" fontId="0" fillId="0" borderId="0" xfId="0" applyAlignment="1">
      <alignment horizontal="left" vertical="center"/>
    </xf>
    <xf numFmtId="0" fontId="0" fillId="0" borderId="1" xfId="0" applyBorder="1" applyAlignment="1">
      <alignment horizontal="left" vertical="center" wrapText="1"/>
    </xf>
    <xf numFmtId="1" fontId="0" fillId="0" borderId="1" xfId="0" applyNumberFormat="1" applyBorder="1" applyAlignment="1">
      <alignment horizontal="left" vertical="center" wrapText="1"/>
    </xf>
    <xf numFmtId="0" fontId="0" fillId="0" borderId="1" xfId="0" applyBorder="1"/>
    <xf numFmtId="1" fontId="0" fillId="0" borderId="0" xfId="0" applyNumberFormat="1"/>
    <xf numFmtId="0" fontId="1" fillId="0" borderId="0" xfId="0" applyFont="1" applyAlignment="1">
      <alignment horizontal="center" vertical="center"/>
    </xf>
    <xf numFmtId="1" fontId="1" fillId="0" borderId="0" xfId="0" applyNumberFormat="1" applyFont="1" applyAlignment="1">
      <alignment horizontal="center" vertical="center"/>
    </xf>
    <xf numFmtId="0" fontId="0" fillId="0" borderId="0" xfId="0" applyAlignment="1">
      <alignment horizontal="center" vertical="center"/>
    </xf>
    <xf numFmtId="0" fontId="4" fillId="2" borderId="0" xfId="0" applyFont="1" applyFill="1" applyAlignment="1">
      <alignment horizontal="center" vertical="center"/>
    </xf>
    <xf numFmtId="0" fontId="7" fillId="4" borderId="20" xfId="0" applyFont="1" applyFill="1" applyBorder="1" applyAlignment="1">
      <alignment vertical="center"/>
    </xf>
    <xf numFmtId="0" fontId="7" fillId="3" borderId="20" xfId="0" applyFont="1" applyFill="1" applyBorder="1" applyAlignment="1">
      <alignment vertical="center"/>
    </xf>
    <xf numFmtId="0" fontId="7" fillId="3" borderId="21" xfId="0" applyFont="1" applyFill="1" applyBorder="1" applyAlignment="1">
      <alignment vertical="center"/>
    </xf>
    <xf numFmtId="0" fontId="0" fillId="0" borderId="1" xfId="0" applyBorder="1" applyAlignment="1">
      <alignment horizontal="left" vertical="center"/>
    </xf>
    <xf numFmtId="0" fontId="5" fillId="0" borderId="1" xfId="0" applyFont="1" applyBorder="1" applyAlignment="1">
      <alignment horizontal="left" vertical="center" wrapText="1"/>
    </xf>
    <xf numFmtId="0" fontId="0" fillId="0" borderId="8" xfId="0" applyBorder="1" applyAlignment="1">
      <alignment horizontal="center" vertical="center"/>
    </xf>
    <xf numFmtId="0" fontId="0" fillId="0" borderId="1" xfId="0" applyBorder="1" applyAlignment="1">
      <alignment horizontal="center"/>
    </xf>
    <xf numFmtId="0" fontId="0" fillId="0" borderId="0" xfId="0" applyAlignment="1">
      <alignment horizontal="center"/>
    </xf>
    <xf numFmtId="0" fontId="8" fillId="0" borderId="11" xfId="0" applyFont="1" applyBorder="1" applyAlignment="1">
      <alignment horizontal="left" vertical="center"/>
    </xf>
    <xf numFmtId="0" fontId="8" fillId="0" borderId="1" xfId="0" applyFont="1" applyBorder="1" applyAlignment="1">
      <alignment horizontal="left" vertical="center" wrapText="1"/>
    </xf>
    <xf numFmtId="0" fontId="8" fillId="0" borderId="1" xfId="0" applyFont="1" applyBorder="1"/>
    <xf numFmtId="0" fontId="8" fillId="0" borderId="0" xfId="0" applyFont="1"/>
    <xf numFmtId="0" fontId="9" fillId="0" borderId="11" xfId="0" applyFont="1" applyBorder="1" applyAlignment="1">
      <alignment horizontal="left" vertical="center"/>
    </xf>
    <xf numFmtId="1" fontId="8"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1" fontId="8" fillId="0" borderId="1" xfId="0" applyNumberFormat="1" applyFont="1" applyBorder="1" applyAlignment="1">
      <alignment horizontal="center" vertical="center"/>
    </xf>
    <xf numFmtId="1" fontId="8" fillId="0" borderId="0" xfId="0" applyNumberFormat="1" applyFont="1" applyAlignment="1">
      <alignment horizontal="center" vertical="center"/>
    </xf>
    <xf numFmtId="0" fontId="7" fillId="4" borderId="19" xfId="0" applyFont="1" applyFill="1" applyBorder="1" applyAlignment="1">
      <alignment vertical="center"/>
    </xf>
    <xf numFmtId="0" fontId="10" fillId="0" borderId="12" xfId="0" applyFont="1" applyBorder="1" applyAlignment="1">
      <alignment vertical="center"/>
    </xf>
    <xf numFmtId="0" fontId="10" fillId="0" borderId="0" xfId="0" applyFont="1" applyAlignment="1">
      <alignment vertical="center"/>
    </xf>
    <xf numFmtId="0" fontId="10" fillId="0" borderId="14" xfId="0" applyFont="1" applyBorder="1" applyAlignment="1">
      <alignment vertical="center"/>
    </xf>
    <xf numFmtId="0" fontId="10" fillId="0" borderId="10" xfId="0" applyFont="1" applyBorder="1" applyAlignment="1">
      <alignment vertical="center"/>
    </xf>
    <xf numFmtId="0" fontId="4" fillId="0" borderId="14" xfId="0" applyFont="1" applyBorder="1" applyAlignment="1">
      <alignment vertical="center"/>
    </xf>
    <xf numFmtId="0" fontId="4" fillId="0" borderId="10" xfId="0" applyFont="1" applyBorder="1" applyAlignment="1">
      <alignment vertical="center"/>
    </xf>
    <xf numFmtId="0" fontId="5" fillId="0" borderId="10" xfId="0" applyFont="1" applyBorder="1"/>
    <xf numFmtId="0" fontId="11" fillId="0" borderId="6" xfId="0" applyFont="1" applyBorder="1" applyAlignment="1">
      <alignment vertical="top"/>
    </xf>
    <xf numFmtId="0" fontId="4" fillId="0" borderId="10" xfId="0" applyFont="1" applyBorder="1" applyAlignment="1">
      <alignment horizontal="left" vertical="center"/>
    </xf>
    <xf numFmtId="0" fontId="5" fillId="0" borderId="0" xfId="0" applyFont="1"/>
    <xf numFmtId="0" fontId="4" fillId="0" borderId="10" xfId="0" applyFont="1" applyBorder="1" applyAlignment="1">
      <alignment horizontal="right" vertical="center"/>
    </xf>
    <xf numFmtId="0" fontId="4" fillId="0" borderId="10" xfId="0" applyFont="1" applyBorder="1" applyAlignment="1">
      <alignment horizontal="center" vertical="center"/>
    </xf>
    <xf numFmtId="0" fontId="4" fillId="0" borderId="15" xfId="0" applyFont="1" applyBorder="1" applyAlignment="1">
      <alignment horizontal="left" vertical="center"/>
    </xf>
    <xf numFmtId="0" fontId="11" fillId="0" borderId="5" xfId="0" applyFont="1" applyBorder="1" applyAlignment="1">
      <alignment vertical="top"/>
    </xf>
    <xf numFmtId="0" fontId="11" fillId="0" borderId="23" xfId="0" applyFont="1" applyBorder="1" applyAlignment="1">
      <alignment vertical="top"/>
    </xf>
    <xf numFmtId="0" fontId="5" fillId="0" borderId="5" xfId="0" applyFont="1" applyBorder="1"/>
    <xf numFmtId="0" fontId="11" fillId="0" borderId="7" xfId="0" applyFont="1" applyBorder="1" applyAlignment="1">
      <alignment vertical="top"/>
    </xf>
    <xf numFmtId="0" fontId="4" fillId="0" borderId="10" xfId="0" applyFont="1" applyBorder="1" applyAlignment="1">
      <alignment vertical="center" wrapText="1"/>
    </xf>
    <xf numFmtId="0" fontId="4" fillId="0" borderId="24" xfId="0" applyFont="1" applyBorder="1" applyAlignment="1">
      <alignment vertical="center" wrapText="1"/>
    </xf>
    <xf numFmtId="0" fontId="10" fillId="0" borderId="22" xfId="0" applyFont="1" applyBorder="1" applyAlignment="1">
      <alignment vertical="center"/>
    </xf>
    <xf numFmtId="0" fontId="10" fillId="0" borderId="27" xfId="0" applyFont="1" applyBorder="1" applyAlignment="1">
      <alignment vertical="center"/>
    </xf>
    <xf numFmtId="0" fontId="5" fillId="0" borderId="28" xfId="0" applyFont="1" applyBorder="1" applyAlignment="1">
      <alignment vertical="top" wrapText="1"/>
    </xf>
    <xf numFmtId="0" fontId="13" fillId="0" borderId="0" xfId="1" applyFont="1" applyAlignment="1">
      <alignment vertical="center"/>
    </xf>
    <xf numFmtId="0" fontId="10" fillId="0" borderId="11" xfId="0" applyFont="1" applyBorder="1" applyAlignment="1">
      <alignment vertical="center"/>
    </xf>
    <xf numFmtId="0" fontId="10" fillId="0" borderId="25" xfId="0" applyFont="1" applyBorder="1" applyAlignment="1">
      <alignment vertical="center"/>
    </xf>
    <xf numFmtId="0" fontId="12" fillId="0" borderId="29" xfId="0" applyFont="1" applyBorder="1" applyAlignment="1">
      <alignment vertical="top"/>
    </xf>
    <xf numFmtId="0" fontId="10" fillId="0" borderId="0" xfId="0" applyFont="1" applyAlignment="1">
      <alignment vertical="center" textRotation="90"/>
    </xf>
    <xf numFmtId="0" fontId="10" fillId="0" borderId="4" xfId="0" applyFont="1" applyBorder="1" applyAlignment="1">
      <alignment vertical="center"/>
    </xf>
    <xf numFmtId="0" fontId="10" fillId="0" borderId="24" xfId="0" applyFont="1" applyBorder="1" applyAlignment="1">
      <alignment vertical="center"/>
    </xf>
    <xf numFmtId="0" fontId="12" fillId="0" borderId="30" xfId="0" applyFont="1" applyBorder="1" applyAlignment="1">
      <alignment vertical="top"/>
    </xf>
    <xf numFmtId="0" fontId="14" fillId="0" borderId="16" xfId="0" applyFont="1" applyBorder="1" applyAlignment="1">
      <alignment horizontal="left" vertical="center"/>
    </xf>
    <xf numFmtId="0" fontId="14" fillId="0" borderId="4" xfId="0" applyFont="1" applyBorder="1" applyAlignment="1">
      <alignment horizontal="left" vertical="center"/>
    </xf>
    <xf numFmtId="0" fontId="14" fillId="0" borderId="4" xfId="0" applyFont="1" applyBorder="1"/>
    <xf numFmtId="0" fontId="14" fillId="0" borderId="26" xfId="0" applyFont="1" applyBorder="1"/>
    <xf numFmtId="0" fontId="5" fillId="0" borderId="22" xfId="0" applyFont="1" applyBorder="1"/>
    <xf numFmtId="0" fontId="14" fillId="0" borderId="22" xfId="0" applyFont="1" applyBorder="1" applyAlignment="1">
      <alignment horizontal="left" vertical="center"/>
    </xf>
    <xf numFmtId="0" fontId="14" fillId="0" borderId="3" xfId="0" applyFont="1" applyBorder="1"/>
    <xf numFmtId="0" fontId="5" fillId="0" borderId="0" xfId="0" applyFont="1" applyAlignment="1">
      <alignment horizontal="center"/>
    </xf>
    <xf numFmtId="0" fontId="5" fillId="0" borderId="0" xfId="0" applyFont="1" applyAlignment="1">
      <alignment vertical="center"/>
    </xf>
    <xf numFmtId="0" fontId="5" fillId="0" borderId="0" xfId="0" applyFont="1" applyAlignment="1">
      <alignment horizontal="left" vertical="center"/>
    </xf>
    <xf numFmtId="0" fontId="5" fillId="5" borderId="0" xfId="0" applyFont="1" applyFill="1" applyAlignment="1">
      <alignment vertical="center"/>
    </xf>
    <xf numFmtId="0" fontId="5" fillId="0" borderId="0" xfId="0" applyFont="1" applyAlignment="1">
      <alignment vertical="top" wrapText="1"/>
    </xf>
    <xf numFmtId="16" fontId="5" fillId="0" borderId="0" xfId="0" applyNumberFormat="1" applyFont="1" applyAlignment="1">
      <alignment horizontal="left" vertical="center"/>
    </xf>
    <xf numFmtId="0" fontId="4" fillId="0" borderId="0" xfId="0" applyFont="1" applyAlignment="1">
      <alignment horizontal="left" vertical="center"/>
    </xf>
    <xf numFmtId="0" fontId="10" fillId="0" borderId="0" xfId="0" applyFont="1" applyAlignment="1">
      <alignment horizontal="center" vertical="center"/>
    </xf>
    <xf numFmtId="0" fontId="5" fillId="0" borderId="1" xfId="0" applyFont="1" applyBorder="1" applyAlignment="1">
      <alignment vertical="center"/>
    </xf>
    <xf numFmtId="0" fontId="0" fillId="5" borderId="0" xfId="0" applyFill="1"/>
    <xf numFmtId="166" fontId="0" fillId="0" borderId="0" xfId="0" applyNumberFormat="1"/>
    <xf numFmtId="165" fontId="5" fillId="0" borderId="0" xfId="0" applyNumberFormat="1" applyFont="1" applyAlignment="1">
      <alignment horizontal="left" vertical="center" textRotation="90"/>
    </xf>
    <xf numFmtId="165" fontId="5" fillId="0" borderId="1" xfId="0" applyNumberFormat="1" applyFont="1" applyBorder="1" applyAlignment="1">
      <alignment vertical="center" textRotation="90"/>
    </xf>
    <xf numFmtId="165" fontId="5" fillId="0" borderId="0" xfId="0" applyNumberFormat="1" applyFont="1" applyAlignment="1">
      <alignment vertical="center" textRotation="90"/>
    </xf>
    <xf numFmtId="0" fontId="5" fillId="0" borderId="0" xfId="0" applyFont="1" applyAlignment="1">
      <alignment horizontal="center" vertical="center"/>
    </xf>
    <xf numFmtId="0" fontId="0" fillId="6" borderId="0" xfId="0" applyFill="1"/>
    <xf numFmtId="0" fontId="20" fillId="6" borderId="0" xfId="0" applyFont="1" applyFill="1"/>
    <xf numFmtId="0" fontId="0" fillId="7" borderId="0" xfId="0" applyFill="1"/>
    <xf numFmtId="0" fontId="5" fillId="0" borderId="0" xfId="0" applyFont="1" applyAlignment="1">
      <alignment horizontal="left" vertical="center" wrapText="1"/>
    </xf>
    <xf numFmtId="0" fontId="5" fillId="0" borderId="0" xfId="0" applyFont="1" applyAlignment="1">
      <alignment vertical="center" wrapText="1"/>
    </xf>
    <xf numFmtId="0" fontId="0" fillId="0" borderId="0" xfId="0" applyAlignment="1">
      <alignment vertical="center"/>
    </xf>
    <xf numFmtId="165" fontId="5" fillId="0" borderId="0" xfId="0" applyNumberFormat="1" applyFont="1" applyAlignment="1">
      <alignment horizontal="left" vertical="center"/>
    </xf>
    <xf numFmtId="0" fontId="21" fillId="0" borderId="0" xfId="0" applyFont="1" applyAlignment="1">
      <alignment vertical="center"/>
    </xf>
    <xf numFmtId="165" fontId="21" fillId="0" borderId="0" xfId="0" applyNumberFormat="1" applyFont="1" applyAlignment="1">
      <alignment vertical="center" textRotation="90"/>
    </xf>
    <xf numFmtId="0" fontId="21" fillId="0" borderId="0" xfId="0" applyFont="1" applyAlignment="1">
      <alignment vertical="center" wrapText="1"/>
    </xf>
    <xf numFmtId="0" fontId="21" fillId="0" borderId="0" xfId="0" applyFont="1" applyAlignment="1">
      <alignment vertical="top"/>
    </xf>
    <xf numFmtId="0" fontId="21" fillId="0" borderId="0" xfId="0" applyFont="1"/>
    <xf numFmtId="0" fontId="21" fillId="0" borderId="0" xfId="0" applyFont="1" applyAlignment="1">
      <alignment horizontal="center" vertical="center" wrapText="1"/>
    </xf>
    <xf numFmtId="165" fontId="21" fillId="0" borderId="0" xfId="0" applyNumberFormat="1" applyFont="1" applyAlignment="1">
      <alignment horizontal="left" vertical="center"/>
    </xf>
    <xf numFmtId="0" fontId="23" fillId="0" borderId="0" xfId="0" applyFont="1"/>
    <xf numFmtId="165" fontId="21" fillId="0" borderId="0" xfId="0" applyNumberFormat="1" applyFont="1" applyAlignment="1">
      <alignment horizontal="left" vertical="center" textRotation="90"/>
    </xf>
    <xf numFmtId="0" fontId="21" fillId="0" borderId="0" xfId="0" applyFont="1" applyAlignment="1">
      <alignment horizontal="left" vertical="center" wrapText="1"/>
    </xf>
    <xf numFmtId="0" fontId="0" fillId="0" borderId="20" xfId="0" applyBorder="1"/>
    <xf numFmtId="0" fontId="7" fillId="4" borderId="0" xfId="0" applyFont="1" applyFill="1" applyAlignment="1">
      <alignment vertical="center"/>
    </xf>
    <xf numFmtId="0" fontId="7" fillId="3" borderId="0" xfId="0" applyFont="1" applyFill="1" applyAlignment="1">
      <alignment vertical="center"/>
    </xf>
    <xf numFmtId="0" fontId="18" fillId="0" borderId="4" xfId="0" applyFont="1" applyBorder="1" applyAlignment="1">
      <alignment vertical="center" wrapText="1"/>
    </xf>
    <xf numFmtId="0" fontId="2" fillId="0" borderId="0" xfId="0" applyFont="1" applyAlignment="1">
      <alignment vertical="center"/>
    </xf>
    <xf numFmtId="0" fontId="2" fillId="0" borderId="0" xfId="0" applyFont="1" applyAlignment="1">
      <alignment horizontal="left" vertical="center"/>
    </xf>
    <xf numFmtId="0" fontId="2" fillId="0" borderId="8" xfId="0" applyFont="1" applyBorder="1" applyAlignment="1">
      <alignment vertical="center"/>
    </xf>
    <xf numFmtId="0" fontId="2" fillId="0" borderId="11" xfId="0" applyFont="1" applyBorder="1" applyAlignment="1">
      <alignment vertical="center"/>
    </xf>
    <xf numFmtId="0" fontId="2" fillId="0" borderId="2" xfId="0" applyFont="1" applyBorder="1" applyAlignment="1">
      <alignment horizontal="center" vertical="center"/>
    </xf>
    <xf numFmtId="0" fontId="2" fillId="0" borderId="11" xfId="0" applyFont="1" applyBorder="1" applyAlignment="1">
      <alignment horizontal="left" vertical="center"/>
    </xf>
    <xf numFmtId="0" fontId="2" fillId="0" borderId="11" xfId="0" applyFont="1" applyBorder="1" applyAlignment="1">
      <alignment horizontal="center" vertical="center"/>
    </xf>
    <xf numFmtId="0" fontId="2" fillId="0" borderId="2" xfId="0" applyFont="1" applyBorder="1" applyAlignment="1">
      <alignment horizontal="left" vertical="center"/>
    </xf>
    <xf numFmtId="1" fontId="2" fillId="0" borderId="2" xfId="0" applyNumberFormat="1" applyFont="1" applyBorder="1" applyAlignment="1">
      <alignment horizontal="left" vertical="center"/>
    </xf>
    <xf numFmtId="0" fontId="2" fillId="0" borderId="2" xfId="0" applyFont="1" applyBorder="1" applyAlignment="1">
      <alignment horizontal="center" vertical="center" wrapText="1"/>
    </xf>
    <xf numFmtId="1" fontId="0" fillId="0" borderId="1" xfId="0" applyNumberFormat="1" applyBorder="1" applyAlignment="1">
      <alignment horizontal="left" vertical="center"/>
    </xf>
    <xf numFmtId="0" fontId="0" fillId="0" borderId="0" xfId="0" applyProtection="1">
      <protection locked="0"/>
    </xf>
    <xf numFmtId="0" fontId="28" fillId="9" borderId="0" xfId="0" applyFont="1" applyFill="1"/>
    <xf numFmtId="0" fontId="30" fillId="0" borderId="0" xfId="0" applyFont="1" applyAlignment="1">
      <alignment vertical="center"/>
    </xf>
    <xf numFmtId="0" fontId="31" fillId="0" borderId="0" xfId="0" applyFont="1" applyAlignment="1">
      <alignment vertical="center"/>
    </xf>
    <xf numFmtId="49" fontId="0" fillId="0" borderId="0" xfId="0" applyNumberFormat="1"/>
    <xf numFmtId="0" fontId="32" fillId="0" borderId="0" xfId="0" applyFont="1"/>
    <xf numFmtId="0" fontId="0" fillId="0" borderId="0" xfId="0" applyAlignment="1">
      <alignment wrapText="1"/>
    </xf>
    <xf numFmtId="0" fontId="29" fillId="6" borderId="0" xfId="0" applyFont="1" applyFill="1" applyAlignment="1">
      <alignment horizontal="center" vertical="center" wrapText="1"/>
    </xf>
    <xf numFmtId="0" fontId="21" fillId="0" borderId="0" xfId="0" applyFont="1" applyAlignment="1">
      <alignment horizontal="left" vertical="center"/>
    </xf>
    <xf numFmtId="0" fontId="0" fillId="0" borderId="11" xfId="0" applyBorder="1" applyAlignment="1">
      <alignment vertical="center"/>
    </xf>
    <xf numFmtId="0" fontId="39" fillId="0" borderId="33" xfId="0" applyFont="1" applyBorder="1" applyAlignment="1">
      <alignment horizontal="center" textRotation="90" wrapText="1"/>
    </xf>
    <xf numFmtId="0" fontId="39" fillId="0" borderId="31" xfId="0" applyFont="1" applyBorder="1" applyAlignment="1">
      <alignment horizontal="center" textRotation="90" wrapText="1"/>
    </xf>
    <xf numFmtId="0" fontId="39" fillId="0" borderId="0" xfId="0" applyFont="1" applyAlignment="1">
      <alignment vertical="center" wrapText="1"/>
    </xf>
    <xf numFmtId="0" fontId="1" fillId="0" borderId="0" xfId="0" applyFont="1"/>
    <xf numFmtId="0" fontId="1" fillId="0" borderId="11" xfId="0" applyFont="1" applyBorder="1" applyAlignment="1">
      <alignment vertical="center"/>
    </xf>
    <xf numFmtId="0" fontId="40" fillId="0" borderId="32" xfId="0" applyFont="1" applyBorder="1" applyAlignment="1">
      <alignment horizontal="center" vertical="center" textRotation="90"/>
    </xf>
    <xf numFmtId="0" fontId="1" fillId="0" borderId="0" xfId="0" applyFont="1" applyAlignment="1">
      <alignment horizontal="center" vertical="center" wrapText="1"/>
    </xf>
    <xf numFmtId="1" fontId="1" fillId="0" borderId="0" xfId="0" applyNumberFormat="1" applyFont="1"/>
    <xf numFmtId="0" fontId="1" fillId="0" borderId="8" xfId="0" applyFont="1" applyBorder="1" applyAlignment="1">
      <alignment vertical="center"/>
    </xf>
    <xf numFmtId="1" fontId="40" fillId="0" borderId="32" xfId="0" applyNumberFormat="1" applyFont="1" applyBorder="1" applyAlignment="1">
      <alignment horizontal="center" vertical="center" textRotation="90"/>
    </xf>
    <xf numFmtId="1" fontId="1" fillId="0" borderId="0" xfId="0" applyNumberFormat="1" applyFont="1" applyAlignment="1">
      <alignment horizontal="center" vertical="center" wrapText="1"/>
    </xf>
    <xf numFmtId="0" fontId="32" fillId="0" borderId="4" xfId="0" applyFont="1" applyBorder="1" applyAlignment="1">
      <alignment horizontal="center" vertical="center"/>
    </xf>
    <xf numFmtId="0" fontId="40" fillId="0" borderId="1" xfId="0" applyFont="1" applyBorder="1" applyAlignment="1">
      <alignment horizontal="center" vertical="center" textRotation="90"/>
    </xf>
    <xf numFmtId="1" fontId="40" fillId="0" borderId="1" xfId="0" applyNumberFormat="1" applyFont="1" applyBorder="1" applyAlignment="1">
      <alignment horizontal="center" vertical="center" textRotation="90"/>
    </xf>
    <xf numFmtId="1" fontId="1" fillId="0" borderId="0" xfId="0" applyNumberFormat="1" applyFont="1" applyAlignment="1">
      <alignment horizontal="center" vertical="center" textRotation="90" wrapText="1"/>
    </xf>
    <xf numFmtId="1" fontId="1" fillId="0" borderId="0" xfId="0" applyNumberFormat="1" applyFont="1" applyAlignment="1">
      <alignment horizontal="center" vertical="center" textRotation="90"/>
    </xf>
    <xf numFmtId="1" fontId="1" fillId="0" borderId="0" xfId="0" applyNumberFormat="1" applyFont="1" applyAlignment="1">
      <alignment textRotation="90"/>
    </xf>
    <xf numFmtId="0" fontId="32" fillId="0" borderId="1" xfId="0" applyFont="1" applyBorder="1" applyAlignment="1">
      <alignment horizontal="center" vertical="center" wrapText="1"/>
    </xf>
    <xf numFmtId="0" fontId="32" fillId="0" borderId="0" xfId="0" applyFont="1" applyAlignment="1">
      <alignment horizontal="center" vertical="center" wrapText="1"/>
    </xf>
    <xf numFmtId="0" fontId="0" fillId="0" borderId="0" xfId="0" applyAlignment="1">
      <alignment horizontal="center" vertical="center" wrapText="1"/>
    </xf>
    <xf numFmtId="0" fontId="48" fillId="0" borderId="1" xfId="0" applyFont="1" applyBorder="1" applyAlignment="1">
      <alignment horizontal="center" vertical="center" wrapText="1"/>
    </xf>
    <xf numFmtId="14" fontId="5" fillId="5" borderId="0" xfId="0" applyNumberFormat="1" applyFont="1" applyFill="1" applyAlignment="1">
      <alignment vertical="center"/>
    </xf>
    <xf numFmtId="0" fontId="0" fillId="0" borderId="34" xfId="0" applyBorder="1" applyAlignment="1">
      <alignment horizontal="left" vertical="center" wrapText="1"/>
    </xf>
    <xf numFmtId="0" fontId="0" fillId="0" borderId="34" xfId="0" applyBorder="1" applyAlignment="1">
      <alignment horizontal="left" vertical="center"/>
    </xf>
    <xf numFmtId="0" fontId="0" fillId="0" borderId="34" xfId="0" applyBorder="1"/>
    <xf numFmtId="0" fontId="0" fillId="5" borderId="0" xfId="0" applyFill="1" applyProtection="1">
      <protection locked="0"/>
    </xf>
    <xf numFmtId="0" fontId="5" fillId="0" borderId="8" xfId="0" applyFont="1" applyBorder="1" applyAlignment="1">
      <alignment horizontal="center" vertical="center"/>
    </xf>
    <xf numFmtId="0" fontId="5" fillId="2" borderId="0" xfId="0" applyFont="1" applyFill="1" applyAlignment="1">
      <alignment vertical="center"/>
    </xf>
    <xf numFmtId="0" fontId="0" fillId="11" borderId="1" xfId="0" applyFill="1" applyBorder="1" applyAlignment="1">
      <alignment horizontal="center" vertical="center"/>
    </xf>
    <xf numFmtId="0" fontId="0" fillId="11" borderId="1" xfId="0" applyFill="1" applyBorder="1" applyAlignment="1">
      <alignment horizontal="center" vertical="center" wrapText="1"/>
    </xf>
    <xf numFmtId="0" fontId="0" fillId="0" borderId="0" xfId="0" applyAlignment="1">
      <alignment horizontal="center" vertical="center" textRotation="90" wrapText="1"/>
    </xf>
    <xf numFmtId="0" fontId="0" fillId="10" borderId="1" xfId="0" applyFill="1" applyBorder="1" applyAlignment="1">
      <alignment horizontal="center" vertical="center"/>
    </xf>
    <xf numFmtId="0" fontId="0" fillId="10" borderId="1" xfId="0" applyFill="1" applyBorder="1" applyAlignment="1">
      <alignment horizontal="center" vertical="center" wrapText="1"/>
    </xf>
    <xf numFmtId="0" fontId="0" fillId="12" borderId="1" xfId="0" applyFill="1" applyBorder="1" applyAlignment="1">
      <alignment horizontal="center" vertical="center"/>
    </xf>
    <xf numFmtId="0" fontId="0" fillId="12" borderId="1" xfId="0" applyFill="1" applyBorder="1" applyAlignment="1">
      <alignment horizontal="center" vertical="center" wrapText="1"/>
    </xf>
    <xf numFmtId="0" fontId="0" fillId="6" borderId="1" xfId="0" applyFill="1" applyBorder="1" applyAlignment="1">
      <alignment horizontal="center" vertical="center"/>
    </xf>
    <xf numFmtId="0" fontId="0" fillId="6" borderId="1" xfId="0" applyFill="1" applyBorder="1" applyAlignment="1">
      <alignment horizontal="center" vertical="center" wrapText="1"/>
    </xf>
    <xf numFmtId="0" fontId="5" fillId="0" borderId="8" xfId="0" applyFont="1" applyBorder="1" applyAlignment="1">
      <alignment vertical="center"/>
    </xf>
    <xf numFmtId="0" fontId="5" fillId="0" borderId="11" xfId="0" applyFont="1" applyBorder="1" applyAlignment="1">
      <alignment vertical="center"/>
    </xf>
    <xf numFmtId="165" fontId="5" fillId="0" borderId="2" xfId="0" applyNumberFormat="1" applyFont="1" applyBorder="1" applyAlignment="1">
      <alignment vertical="center" textRotation="90" wrapText="1"/>
    </xf>
    <xf numFmtId="165" fontId="5" fillId="0" borderId="4" xfId="0" applyNumberFormat="1" applyFont="1" applyBorder="1" applyAlignment="1">
      <alignment horizontal="center" vertical="center"/>
    </xf>
    <xf numFmtId="14" fontId="0" fillId="0" borderId="0" xfId="0" applyNumberFormat="1"/>
    <xf numFmtId="0" fontId="2" fillId="0" borderId="0" xfId="0" applyFont="1"/>
    <xf numFmtId="0" fontId="0" fillId="13" borderId="0" xfId="0" applyFill="1"/>
    <xf numFmtId="0" fontId="0" fillId="11" borderId="0" xfId="0" applyFill="1"/>
    <xf numFmtId="0" fontId="0" fillId="14" borderId="0" xfId="0" applyFill="1"/>
    <xf numFmtId="0" fontId="0" fillId="15" borderId="0" xfId="0" applyFill="1"/>
    <xf numFmtId="0" fontId="5" fillId="0" borderId="0" xfId="0" applyFont="1" applyAlignment="1">
      <alignment horizontal="left" vertical="top" wrapText="1"/>
    </xf>
    <xf numFmtId="0" fontId="6" fillId="0" borderId="1" xfId="0" applyFont="1" applyBorder="1" applyAlignment="1">
      <alignment horizontal="left" vertical="center"/>
    </xf>
    <xf numFmtId="0" fontId="6" fillId="0" borderId="11" xfId="0" applyFont="1" applyBorder="1" applyAlignment="1">
      <alignment horizontal="left" vertical="center"/>
    </xf>
    <xf numFmtId="0" fontId="6" fillId="0" borderId="9" xfId="0" applyFont="1" applyBorder="1" applyAlignment="1">
      <alignment horizontal="left" vertical="center"/>
    </xf>
    <xf numFmtId="0" fontId="17" fillId="0" borderId="0" xfId="0" applyFont="1" applyAlignment="1">
      <alignment horizontal="center" wrapText="1"/>
    </xf>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21" fillId="0" borderId="0" xfId="0" applyFont="1" applyAlignment="1">
      <alignment horizontal="center" vertical="center"/>
    </xf>
    <xf numFmtId="0" fontId="22" fillId="0" borderId="0" xfId="1" applyFont="1" applyFill="1" applyBorder="1" applyAlignment="1">
      <alignment horizontal="center" vertical="center"/>
    </xf>
    <xf numFmtId="0" fontId="32" fillId="0" borderId="0" xfId="0" applyFont="1" applyAlignment="1">
      <alignment horizontal="center" vertical="center"/>
    </xf>
    <xf numFmtId="0" fontId="1" fillId="8" borderId="11" xfId="0" applyFont="1" applyFill="1" applyBorder="1" applyAlignment="1">
      <alignment horizontal="center" vertical="center"/>
    </xf>
    <xf numFmtId="165" fontId="5" fillId="0" borderId="34" xfId="0" applyNumberFormat="1" applyFont="1" applyBorder="1" applyAlignment="1">
      <alignment horizontal="center" vertical="center"/>
    </xf>
    <xf numFmtId="0" fontId="5" fillId="0" borderId="34" xfId="0" applyFont="1" applyBorder="1" applyAlignment="1">
      <alignment vertical="center"/>
    </xf>
    <xf numFmtId="0" fontId="5" fillId="0" borderId="34" xfId="0" applyFont="1" applyBorder="1" applyAlignment="1">
      <alignment vertical="center" wrapText="1"/>
    </xf>
    <xf numFmtId="165" fontId="5" fillId="0" borderId="0" xfId="0" applyNumberFormat="1" applyFont="1" applyAlignment="1">
      <alignment vertical="center" textRotation="90" wrapText="1"/>
    </xf>
    <xf numFmtId="0" fontId="19" fillId="0" borderId="0" xfId="0" applyFont="1" applyAlignment="1">
      <alignment vertical="center" wrapText="1"/>
    </xf>
    <xf numFmtId="0" fontId="27" fillId="0" borderId="0" xfId="0" applyFont="1" applyAlignment="1">
      <alignment horizontal="center" vertical="center" textRotation="90"/>
    </xf>
    <xf numFmtId="0" fontId="33" fillId="0" borderId="0" xfId="0" applyFont="1" applyAlignment="1">
      <alignment horizontal="left" textRotation="90"/>
    </xf>
    <xf numFmtId="0" fontId="33" fillId="0" borderId="0" xfId="0" applyFont="1" applyAlignment="1">
      <alignment horizontal="center" textRotation="90"/>
    </xf>
    <xf numFmtId="0" fontId="6" fillId="0" borderId="0" xfId="0" applyFont="1" applyAlignment="1">
      <alignment horizontal="left" textRotation="90"/>
    </xf>
    <xf numFmtId="14" fontId="5" fillId="0" borderId="0" xfId="0" applyNumberFormat="1" applyFont="1" applyAlignment="1">
      <alignment horizontal="center" vertical="center"/>
    </xf>
    <xf numFmtId="0" fontId="34" fillId="0" borderId="0" xfId="0" applyFont="1" applyAlignment="1">
      <alignment vertical="center"/>
    </xf>
    <xf numFmtId="0" fontId="34" fillId="0" borderId="0" xfId="0" applyFont="1" applyAlignment="1">
      <alignment horizontal="center" vertical="center"/>
    </xf>
    <xf numFmtId="0" fontId="34" fillId="0" borderId="0" xfId="0" applyFont="1" applyAlignment="1">
      <alignment horizontal="right" vertical="center"/>
    </xf>
    <xf numFmtId="16" fontId="5" fillId="0" borderId="0" xfId="0" applyNumberFormat="1" applyFont="1" applyAlignment="1">
      <alignment vertical="center"/>
    </xf>
    <xf numFmtId="0" fontId="54" fillId="0" borderId="1" xfId="0" applyFont="1" applyBorder="1"/>
    <xf numFmtId="0" fontId="0" fillId="0" borderId="0" xfId="0" applyAlignment="1">
      <alignment horizontal="left"/>
    </xf>
    <xf numFmtId="0" fontId="0" fillId="0" borderId="0" xfId="0" pivotButton="1"/>
    <xf numFmtId="0" fontId="0" fillId="0" borderId="5" xfId="0" applyBorder="1" applyAlignment="1">
      <alignment horizontal="center" wrapText="1"/>
    </xf>
    <xf numFmtId="0" fontId="0" fillId="0" borderId="0" xfId="0" applyAlignment="1">
      <alignment horizontal="center" wrapText="1"/>
    </xf>
    <xf numFmtId="0" fontId="2" fillId="8" borderId="11" xfId="0" applyFont="1" applyFill="1" applyBorder="1" applyAlignment="1">
      <alignment horizontal="center" vertical="center"/>
    </xf>
    <xf numFmtId="0" fontId="2" fillId="8" borderId="9" xfId="0" applyFont="1" applyFill="1" applyBorder="1" applyAlignment="1">
      <alignment horizontal="center" vertical="center"/>
    </xf>
    <xf numFmtId="164" fontId="2" fillId="8" borderId="11" xfId="0" applyNumberFormat="1" applyFont="1" applyFill="1" applyBorder="1" applyAlignment="1">
      <alignment horizontal="center" vertical="center"/>
    </xf>
    <xf numFmtId="0" fontId="32" fillId="0" borderId="0" xfId="0" applyFont="1" applyAlignment="1">
      <alignment horizontal="center"/>
    </xf>
    <xf numFmtId="167" fontId="2" fillId="8" borderId="8" xfId="0" applyNumberFormat="1" applyFont="1" applyFill="1" applyBorder="1" applyAlignment="1">
      <alignment horizontal="center" vertical="center"/>
    </xf>
    <xf numFmtId="167" fontId="2" fillId="8" borderId="11" xfId="0" applyNumberFormat="1" applyFont="1" applyFill="1" applyBorder="1" applyAlignment="1">
      <alignment horizontal="center" vertical="center"/>
    </xf>
    <xf numFmtId="0" fontId="0" fillId="0" borderId="0" xfId="0" applyAlignment="1">
      <alignment horizontal="center"/>
    </xf>
    <xf numFmtId="0" fontId="54" fillId="0" borderId="1" xfId="0" applyFont="1" applyBorder="1" applyAlignment="1">
      <alignment horizontal="center"/>
    </xf>
    <xf numFmtId="0" fontId="12" fillId="0" borderId="17" xfId="0" applyFont="1" applyBorder="1" applyAlignment="1">
      <alignment horizontal="left" vertical="top" wrapText="1"/>
    </xf>
    <xf numFmtId="0" fontId="5" fillId="0" borderId="17" xfId="0" applyFont="1" applyBorder="1" applyAlignment="1">
      <alignment horizontal="left" vertical="top" wrapText="1"/>
    </xf>
    <xf numFmtId="0" fontId="5" fillId="0" borderId="18" xfId="0" applyFont="1" applyBorder="1" applyAlignment="1">
      <alignment horizontal="left" vertical="top" wrapText="1"/>
    </xf>
    <xf numFmtId="0" fontId="5" fillId="0" borderId="0" xfId="0" applyFont="1" applyAlignment="1">
      <alignment horizontal="left" vertical="top" wrapText="1"/>
    </xf>
    <xf numFmtId="0" fontId="5" fillId="0" borderId="13" xfId="0" applyFont="1" applyBorder="1" applyAlignment="1">
      <alignment horizontal="left" vertical="top" wrapText="1"/>
    </xf>
    <xf numFmtId="0" fontId="5" fillId="0" borderId="10" xfId="0" applyFont="1" applyBorder="1" applyAlignment="1">
      <alignment horizontal="left" vertical="top" wrapText="1"/>
    </xf>
    <xf numFmtId="0" fontId="5" fillId="0" borderId="15" xfId="0" applyFont="1" applyBorder="1" applyAlignment="1">
      <alignment horizontal="left" vertical="top" wrapText="1"/>
    </xf>
    <xf numFmtId="0" fontId="6" fillId="0" borderId="1" xfId="0" applyFont="1" applyBorder="1" applyAlignment="1">
      <alignment horizontal="left" vertical="center"/>
    </xf>
    <xf numFmtId="0" fontId="6" fillId="0" borderId="2" xfId="0" applyFont="1" applyBorder="1" applyAlignment="1">
      <alignment horizontal="left" vertical="center"/>
    </xf>
    <xf numFmtId="0" fontId="5" fillId="0" borderId="8" xfId="0" applyFont="1" applyBorder="1" applyAlignment="1">
      <alignment horizontal="left" vertical="center"/>
    </xf>
    <xf numFmtId="0" fontId="5" fillId="0" borderId="11" xfId="0" applyFont="1" applyBorder="1" applyAlignment="1">
      <alignment horizontal="left" vertical="center"/>
    </xf>
    <xf numFmtId="0" fontId="5" fillId="0" borderId="9" xfId="0" applyFont="1" applyBorder="1" applyAlignment="1">
      <alignment horizontal="left" vertical="center"/>
    </xf>
    <xf numFmtId="16" fontId="5" fillId="0" borderId="8" xfId="0" applyNumberFormat="1" applyFont="1" applyBorder="1" applyAlignment="1">
      <alignment horizontal="left" vertical="center"/>
    </xf>
    <xf numFmtId="16" fontId="5" fillId="0" borderId="11" xfId="0" applyNumberFormat="1" applyFont="1" applyBorder="1" applyAlignment="1">
      <alignment horizontal="left" vertical="center"/>
    </xf>
    <xf numFmtId="16" fontId="5" fillId="0" borderId="9" xfId="0" applyNumberFormat="1" applyFont="1" applyBorder="1" applyAlignment="1">
      <alignment horizontal="left" vertical="center"/>
    </xf>
    <xf numFmtId="0" fontId="5" fillId="0" borderId="8" xfId="0" applyFont="1" applyBorder="1" applyAlignment="1">
      <alignment horizontal="left" vertical="top"/>
    </xf>
    <xf numFmtId="0" fontId="5" fillId="0" borderId="11" xfId="0" applyFont="1" applyBorder="1" applyAlignment="1">
      <alignment horizontal="left" vertical="top"/>
    </xf>
    <xf numFmtId="0" fontId="5" fillId="0" borderId="9" xfId="0" applyFont="1" applyBorder="1" applyAlignment="1">
      <alignment horizontal="left" vertical="top"/>
    </xf>
    <xf numFmtId="0" fontId="15" fillId="0" borderId="0" xfId="0" applyFont="1" applyAlignment="1">
      <alignment horizontal="left" vertical="center"/>
    </xf>
    <xf numFmtId="0" fontId="16" fillId="0" borderId="0" xfId="0" applyFont="1" applyAlignment="1">
      <alignment horizontal="center" vertical="center"/>
    </xf>
    <xf numFmtId="0" fontId="5" fillId="0" borderId="0" xfId="0" applyFont="1" applyAlignment="1">
      <alignment horizontal="right" vertical="top" wrapText="1"/>
    </xf>
    <xf numFmtId="0" fontId="5" fillId="0" borderId="0" xfId="0" applyFont="1" applyAlignment="1">
      <alignment horizontal="left" wrapText="1"/>
    </xf>
    <xf numFmtId="0" fontId="5" fillId="0" borderId="4" xfId="0" applyFont="1" applyBorder="1" applyAlignment="1">
      <alignment horizontal="left" wrapText="1"/>
    </xf>
    <xf numFmtId="0" fontId="6" fillId="0" borderId="8" xfId="0" applyFont="1" applyBorder="1" applyAlignment="1">
      <alignment horizontal="left" vertical="center"/>
    </xf>
    <xf numFmtId="0" fontId="6" fillId="0" borderId="11" xfId="0" applyFont="1" applyBorder="1" applyAlignment="1">
      <alignment horizontal="left" vertical="center"/>
    </xf>
    <xf numFmtId="0" fontId="6" fillId="0" borderId="9" xfId="0" applyFont="1" applyBorder="1" applyAlignment="1">
      <alignment horizontal="left" vertical="center"/>
    </xf>
    <xf numFmtId="0" fontId="5" fillId="0" borderId="5" xfId="0" applyFont="1" applyBorder="1" applyAlignment="1">
      <alignment horizontal="left" wrapText="1"/>
    </xf>
    <xf numFmtId="0" fontId="5" fillId="0" borderId="1" xfId="0" applyFont="1" applyBorder="1" applyAlignment="1">
      <alignment horizontal="left" vertical="center"/>
    </xf>
    <xf numFmtId="0" fontId="17" fillId="0" borderId="0" xfId="0" applyFont="1" applyAlignment="1">
      <alignment horizontal="center" wrapText="1"/>
    </xf>
    <xf numFmtId="0" fontId="5" fillId="0" borderId="4" xfId="0" applyFont="1" applyBorder="1" applyAlignment="1">
      <alignment horizontal="left" vertical="top" wrapText="1"/>
    </xf>
    <xf numFmtId="0" fontId="6" fillId="0" borderId="9" xfId="0" applyFont="1" applyBorder="1" applyAlignment="1">
      <alignment horizontal="right" vertical="center"/>
    </xf>
    <xf numFmtId="0" fontId="6" fillId="0" borderId="1" xfId="0" applyFont="1" applyBorder="1" applyAlignment="1">
      <alignment horizontal="right" vertical="center"/>
    </xf>
    <xf numFmtId="0" fontId="6" fillId="0" borderId="8" xfId="0" applyFont="1" applyBorder="1" applyAlignment="1">
      <alignment horizontal="right" vertical="center"/>
    </xf>
    <xf numFmtId="0" fontId="6" fillId="0" borderId="11" xfId="0" applyFont="1" applyBorder="1" applyAlignment="1">
      <alignment horizontal="right" vertical="center"/>
    </xf>
    <xf numFmtId="0" fontId="21" fillId="0" borderId="0" xfId="0" applyFont="1" applyAlignment="1">
      <alignment horizontal="center" vertical="center"/>
    </xf>
    <xf numFmtId="0" fontId="26" fillId="0" borderId="0" xfId="0" applyFont="1" applyAlignment="1">
      <alignment horizontal="center" vertical="center"/>
    </xf>
    <xf numFmtId="0" fontId="25" fillId="0" borderId="0" xfId="0" applyFont="1" applyAlignment="1">
      <alignment horizontal="center" vertical="top" wrapText="1"/>
    </xf>
    <xf numFmtId="0" fontId="25" fillId="0" borderId="4" xfId="0" applyFont="1" applyBorder="1" applyAlignment="1">
      <alignment horizontal="center" vertical="top" wrapText="1"/>
    </xf>
    <xf numFmtId="0" fontId="21" fillId="0" borderId="4" xfId="0" applyFont="1" applyBorder="1" applyAlignment="1">
      <alignment horizontal="center" vertical="center"/>
    </xf>
    <xf numFmtId="0" fontId="21" fillId="0" borderId="0" xfId="0" applyFont="1" applyAlignment="1">
      <alignment horizontal="center"/>
    </xf>
    <xf numFmtId="0" fontId="35" fillId="0" borderId="0" xfId="0" applyFont="1" applyAlignment="1">
      <alignment horizontal="left" vertical="center" wrapText="1"/>
    </xf>
    <xf numFmtId="0" fontId="21" fillId="0" borderId="0" xfId="0" applyFont="1" applyAlignment="1">
      <alignment horizontal="right" vertical="center" wrapText="1"/>
    </xf>
    <xf numFmtId="0" fontId="22" fillId="0" borderId="0" xfId="1" applyFont="1" applyFill="1" applyBorder="1" applyAlignment="1">
      <alignment horizontal="center" vertical="center"/>
    </xf>
    <xf numFmtId="0" fontId="24" fillId="0" borderId="0" xfId="0" applyFont="1" applyAlignment="1">
      <alignment horizontal="center" vertical="center"/>
    </xf>
    <xf numFmtId="0" fontId="21" fillId="8" borderId="0" xfId="0" applyFont="1" applyFill="1" applyAlignment="1">
      <alignment horizontal="center" vertical="center"/>
    </xf>
    <xf numFmtId="0" fontId="32" fillId="0" borderId="0" xfId="0" applyFont="1" applyAlignment="1">
      <alignment horizontal="center" vertical="center"/>
    </xf>
    <xf numFmtId="0" fontId="1" fillId="8" borderId="11" xfId="0" applyFont="1" applyFill="1" applyBorder="1" applyAlignment="1">
      <alignment horizontal="center" vertical="center"/>
    </xf>
    <xf numFmtId="0" fontId="41" fillId="0" borderId="8" xfId="0" applyFont="1" applyBorder="1" applyAlignment="1">
      <alignment horizontal="center" vertical="top" wrapText="1"/>
    </xf>
    <xf numFmtId="0" fontId="39" fillId="0" borderId="11" xfId="0" applyFont="1" applyBorder="1" applyAlignment="1">
      <alignment horizontal="center" vertical="top" wrapText="1"/>
    </xf>
    <xf numFmtId="0" fontId="41" fillId="0" borderId="6" xfId="0" applyFont="1" applyBorder="1" applyAlignment="1">
      <alignment horizontal="center" vertical="top" wrapText="1"/>
    </xf>
    <xf numFmtId="0" fontId="41" fillId="0" borderId="5" xfId="0" applyFont="1" applyBorder="1" applyAlignment="1">
      <alignment horizontal="center" vertical="top" wrapText="1"/>
    </xf>
    <xf numFmtId="0" fontId="41" fillId="0" borderId="7" xfId="0" applyFont="1" applyBorder="1" applyAlignment="1">
      <alignment horizontal="center" vertical="top" wrapText="1"/>
    </xf>
    <xf numFmtId="0" fontId="44" fillId="0" borderId="8" xfId="0" applyFont="1" applyBorder="1" applyAlignment="1">
      <alignment horizontal="center" vertical="center" wrapText="1"/>
    </xf>
    <xf numFmtId="0" fontId="44" fillId="0" borderId="11" xfId="0" applyFont="1" applyBorder="1" applyAlignment="1">
      <alignment horizontal="center" vertical="center" wrapText="1"/>
    </xf>
    <xf numFmtId="0" fontId="44" fillId="0" borderId="9" xfId="0" applyFont="1" applyBorder="1" applyAlignment="1">
      <alignment horizontal="center" vertical="center" wrapText="1"/>
    </xf>
    <xf numFmtId="0" fontId="41" fillId="0" borderId="11" xfId="0" applyFont="1" applyBorder="1" applyAlignment="1">
      <alignment horizontal="center" vertical="top" wrapText="1"/>
    </xf>
    <xf numFmtId="0" fontId="6" fillId="0" borderId="1" xfId="0" applyFont="1" applyBorder="1" applyAlignment="1">
      <alignment horizontal="center" vertical="center"/>
    </xf>
    <xf numFmtId="0" fontId="19" fillId="0" borderId="8" xfId="0" applyFont="1" applyBorder="1" applyAlignment="1">
      <alignment horizontal="left" vertical="center" wrapText="1"/>
    </xf>
    <xf numFmtId="0" fontId="19" fillId="0" borderId="11" xfId="0" applyFont="1" applyBorder="1" applyAlignment="1">
      <alignment horizontal="left" vertical="center" wrapText="1"/>
    </xf>
    <xf numFmtId="0" fontId="51" fillId="0" borderId="1" xfId="0" applyFont="1" applyBorder="1" applyAlignment="1">
      <alignment horizontal="center" vertical="center" textRotation="90"/>
    </xf>
    <xf numFmtId="0" fontId="5" fillId="0" borderId="1" xfId="0" applyFont="1" applyBorder="1" applyAlignment="1">
      <alignment horizontal="center" vertical="center"/>
    </xf>
    <xf numFmtId="0" fontId="5" fillId="0" borderId="35" xfId="0" applyFont="1" applyBorder="1" applyAlignment="1">
      <alignment horizontal="center" vertical="center"/>
    </xf>
    <xf numFmtId="0" fontId="5" fillId="0" borderId="4" xfId="0" applyFont="1" applyBorder="1" applyAlignment="1">
      <alignment horizontal="center" vertical="center"/>
    </xf>
    <xf numFmtId="0" fontId="5" fillId="0" borderId="11" xfId="0" applyFont="1" applyBorder="1" applyAlignment="1">
      <alignment horizontal="center" vertical="center"/>
    </xf>
    <xf numFmtId="0" fontId="5" fillId="0" borderId="9" xfId="0" applyFont="1" applyBorder="1" applyAlignment="1">
      <alignment horizontal="center" vertical="center"/>
    </xf>
    <xf numFmtId="0" fontId="52" fillId="0" borderId="4" xfId="0" applyFont="1" applyBorder="1" applyAlignment="1">
      <alignment horizontal="center" vertical="center" wrapText="1"/>
    </xf>
    <xf numFmtId="0" fontId="5" fillId="0" borderId="2" xfId="0" applyFont="1" applyBorder="1" applyAlignment="1">
      <alignment horizontal="center" vertical="center"/>
    </xf>
    <xf numFmtId="0" fontId="1" fillId="0" borderId="4"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1" xfId="0" applyFont="1" applyBorder="1" applyAlignment="1">
      <alignment horizontal="center" vertical="center" wrapText="1"/>
    </xf>
    <xf numFmtId="0" fontId="19" fillId="0" borderId="0" xfId="0" applyFont="1" applyAlignment="1">
      <alignment horizontal="center" vertical="center" wrapText="1"/>
    </xf>
    <xf numFmtId="0" fontId="32" fillId="0" borderId="35" xfId="0" applyFont="1" applyBorder="1" applyAlignment="1">
      <alignment horizontal="left" vertical="center" wrapText="1"/>
    </xf>
    <xf numFmtId="0" fontId="32" fillId="0" borderId="4" xfId="0" applyFont="1" applyBorder="1" applyAlignment="1">
      <alignment horizontal="left" vertical="center" wrapText="1"/>
    </xf>
    <xf numFmtId="0" fontId="0" fillId="0" borderId="0" xfId="0" applyNumberFormat="1"/>
    <xf numFmtId="0" fontId="0" fillId="0" borderId="0" xfId="0" applyFill="1" applyAlignment="1">
      <alignment horizontal="center" vertical="center"/>
    </xf>
    <xf numFmtId="0" fontId="32" fillId="0" borderId="0" xfId="0" applyFont="1" applyFill="1" applyAlignment="1">
      <alignment horizontal="center" vertical="center"/>
    </xf>
    <xf numFmtId="0" fontId="0" fillId="0" borderId="0" xfId="0" applyFill="1" applyAlignment="1">
      <alignment horizontal="center" vertical="center" textRotation="90"/>
    </xf>
    <xf numFmtId="0" fontId="0" fillId="0" borderId="0" xfId="0" applyNumberFormat="1" applyFill="1" applyAlignment="1">
      <alignment horizontal="center" vertical="center"/>
    </xf>
    <xf numFmtId="0" fontId="0" fillId="0" borderId="0" xfId="0" applyFill="1" applyAlignment="1">
      <alignment horizontal="center" vertical="center"/>
    </xf>
    <xf numFmtId="0" fontId="0" fillId="0" borderId="0" xfId="0" applyFill="1" applyAlignment="1">
      <alignment horizontal="center" vertical="center" wrapText="1"/>
    </xf>
    <xf numFmtId="0" fontId="0" fillId="0" borderId="0" xfId="0" applyFill="1" applyAlignment="1">
      <alignment horizontal="center" vertical="center" wrapText="1"/>
    </xf>
  </cellXfs>
  <cellStyles count="2">
    <cellStyle name="Hyperlink" xfId="1" builtinId="8"/>
    <cellStyle name="Normal" xfId="0" builtinId="0"/>
  </cellStyles>
  <dxfs count="301">
    <dxf>
      <alignment textRotation="90"/>
    </dxf>
    <dxf>
      <alignment textRotation="90"/>
    </dxf>
    <dxf>
      <alignment textRotation="90"/>
    </dxf>
    <dxf>
      <fill>
        <patternFill patternType="solid">
          <bgColor rgb="FF92D050"/>
        </patternFill>
      </fill>
    </dxf>
    <dxf>
      <alignment textRotation="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sz val="8"/>
      </font>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textRotation="90"/>
    </dxf>
    <dxf>
      <alignment textRotation="90"/>
    </dxf>
    <dxf>
      <alignment textRotation="90"/>
    </dxf>
    <dxf>
      <fill>
        <patternFill patternType="solid">
          <bgColor rgb="FF92D050"/>
        </patternFill>
      </fill>
    </dxf>
    <dxf>
      <alignment textRotation="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sz val="8"/>
      </font>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textRotation="90"/>
    </dxf>
    <dxf>
      <alignment textRotation="90"/>
    </dxf>
    <dxf>
      <alignment textRotation="90"/>
    </dxf>
    <dxf>
      <fill>
        <patternFill patternType="solid">
          <bgColor rgb="FF92D050"/>
        </patternFill>
      </fill>
    </dxf>
    <dxf>
      <alignment textRotation="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sz val="8"/>
      </font>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left/>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top style="thin">
          <color auto="1"/>
        </top>
        <bottom style="thin">
          <color auto="1"/>
        </bottom>
      </border>
    </dxf>
    <dxf>
      <border>
        <left/>
        <right/>
        <top style="thin">
          <color auto="1"/>
        </top>
        <bottom style="thin">
          <color auto="1"/>
        </bottom>
      </border>
    </dxf>
    <dxf>
      <border>
        <left/>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numFmt numFmtId="0" formatCode="General"/>
    </dxf>
    <dxf>
      <font>
        <color rgb="FF9C0006"/>
      </font>
      <fill>
        <patternFill>
          <bgColor rgb="FFFFC7CE"/>
        </patternFill>
      </fill>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font>
        <sz val="8"/>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textRotation="0"/>
    </dxf>
    <dxf>
      <fill>
        <patternFill patternType="solid">
          <bgColor rgb="FF92D050"/>
        </patternFill>
      </fill>
    </dxf>
    <dxf>
      <alignment textRotation="90"/>
    </dxf>
    <dxf>
      <alignment textRotation="90"/>
    </dxf>
    <dxf>
      <alignment textRotation="9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font>
        <sz val="8"/>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textRotation="0"/>
    </dxf>
    <dxf>
      <fill>
        <patternFill patternType="solid">
          <bgColor rgb="FF92D050"/>
        </patternFill>
      </fill>
    </dxf>
    <dxf>
      <alignment textRotation="90"/>
    </dxf>
    <dxf>
      <alignment textRotation="90"/>
    </dxf>
    <dxf>
      <alignment textRotation="9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indent="0"/>
    </dxf>
    <dxf>
      <alignment horizontal="center" indent="0"/>
    </dxf>
    <dxf>
      <alignment horizontal="center" indent="0"/>
    </dxf>
    <dxf>
      <alignment horizontal="center" indent="0"/>
    </dxf>
    <dxf>
      <alignment horizontal="center" indent="0"/>
    </dxf>
    <dxf>
      <alignment horizontal="center" indent="0"/>
    </dxf>
    <dxf>
      <font>
        <sz val="8"/>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textRotation="0"/>
    </dxf>
    <dxf>
      <fill>
        <patternFill patternType="solid">
          <bgColor rgb="FF92D050"/>
        </patternFill>
      </fill>
    </dxf>
    <dxf>
      <alignment textRotation="90"/>
    </dxf>
    <dxf>
      <alignment textRotation="90"/>
    </dxf>
    <dxf>
      <alignment textRotation="90"/>
    </dxf>
    <dxf>
      <fill>
        <patternFill patternType="solid">
          <fgColor indexed="64"/>
          <bgColor rgb="FFFFFF00"/>
        </patternFill>
      </fill>
    </dxf>
    <dxf>
      <fill>
        <patternFill patternType="solid">
          <fgColor indexed="64"/>
          <bgColor rgb="FFFFFF00"/>
        </patternFill>
      </fill>
    </dxf>
    <dxf>
      <font>
        <strike val="0"/>
        <outline val="0"/>
        <shadow val="0"/>
        <u val="none"/>
        <vertAlign val="baseline"/>
        <sz val="12"/>
        <name val="Calibri"/>
        <family val="2"/>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2"/>
        <name val="Calibri"/>
        <family val="2"/>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2"/>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2"/>
        <name val="Calibri"/>
        <family val="2"/>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2"/>
        <name val="Calibri"/>
        <family val="2"/>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2"/>
        <name val="Calibri"/>
        <family val="2"/>
      </font>
      <numFmt numFmtId="0" formatCode="General"/>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12"/>
        <name val="Calibri"/>
        <family val="2"/>
      </font>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12"/>
        <name val="Calibri"/>
        <family val="2"/>
      </font>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12"/>
        <name val="Calibri"/>
        <family val="2"/>
      </font>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12"/>
        <name val="Calibri"/>
        <family val="2"/>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2"/>
        <name val="Calibri"/>
        <family val="2"/>
      </font>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12"/>
        <name val="Calibri"/>
        <family val="2"/>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2"/>
        <name val="Calibri"/>
        <family val="2"/>
      </font>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12"/>
        <name val="Calibri"/>
        <family val="2"/>
      </font>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12"/>
        <name val="Calibri"/>
        <family val="2"/>
      </font>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12"/>
        <name val="Calibri"/>
        <family val="2"/>
      </font>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12"/>
        <name val="Calibri"/>
        <family val="2"/>
      </font>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12"/>
        <name val="Calibri"/>
        <family val="2"/>
      </font>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12"/>
        <name val="Calibri"/>
        <family val="2"/>
      </font>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12"/>
        <name val="Calibri"/>
        <family val="2"/>
      </font>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12"/>
        <name val="Calibri"/>
        <family val="2"/>
      </font>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12"/>
        <name val="Calibri"/>
        <family val="2"/>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12"/>
        <name val="Calibri"/>
        <family val="2"/>
      </font>
      <fill>
        <patternFill patternType="none">
          <fgColor indexed="64"/>
          <bgColor auto="1"/>
        </patternFill>
      </fill>
      <alignment horizontal="center" vertical="center" textRotation="0" wrapText="0" indent="0" justifyLastLine="0" shrinkToFit="0" readingOrder="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Calibri"/>
        <family val="2"/>
      </font>
      <fill>
        <patternFill patternType="none">
          <fgColor indexed="64"/>
          <bgColor auto="1"/>
        </patternFill>
      </fill>
      <alignment vertical="center" wrapText="0" indent="0" justifyLastLine="0" shrinkToFit="0" readingOrder="0"/>
    </dxf>
    <dxf>
      <border>
        <bottom style="thin">
          <color indexed="64"/>
        </bottom>
      </border>
    </dxf>
    <dxf>
      <font>
        <b/>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bottom" textRotation="90" wrapText="0" indent="0" justifyLastLine="0" shrinkToFit="0" readingOrder="0"/>
      <border diagonalUp="0" diagonalDown="0" outline="0">
        <left style="thin">
          <color indexed="64"/>
        </left>
        <right style="thin">
          <color indexed="64"/>
        </right>
        <top/>
        <bottom/>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1" defaultTableStyle="TableStyleMedium2" defaultPivotStyle="PivotStyleLight16">
    <tableStyle name="Invisible" pivot="0" table="0" count="0" xr9:uid="{B3EF72E9-4017-4C71-9824-F3EE3C9FEAD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22/10/relationships/richValueRel" Target="richData/richValueRel.xml"/><Relationship Id="rId3" Type="http://schemas.openxmlformats.org/officeDocument/2006/relationships/worksheet" Target="worksheets/sheet3.xml"/><Relationship Id="rId21" Type="http://schemas.microsoft.com/office/2007/relationships/slicerCache" Target="slicerCaches/slicerCache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29"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17/06/relationships/rdRichValue" Target="richData/rdrichvalue.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absolute">
    <xdr:from>
      <xdr:col>28</xdr:col>
      <xdr:colOff>166006</xdr:colOff>
      <xdr:row>0</xdr:row>
      <xdr:rowOff>1266826</xdr:rowOff>
    </xdr:from>
    <xdr:to>
      <xdr:col>29</xdr:col>
      <xdr:colOff>213631</xdr:colOff>
      <xdr:row>0</xdr:row>
      <xdr:rowOff>2076450</xdr:rowOff>
    </xdr:to>
    <mc:AlternateContent xmlns:mc="http://schemas.openxmlformats.org/markup-compatibility/2006" xmlns:sle15="http://schemas.microsoft.com/office/drawing/2012/slicer">
      <mc:Choice Requires="sle15">
        <xdr:graphicFrame macro="">
          <xdr:nvGraphicFramePr>
            <xdr:cNvPr id="2" name="Gender">
              <a:extLst>
                <a:ext uri="{FF2B5EF4-FFF2-40B4-BE49-F238E27FC236}">
                  <a16:creationId xmlns:a16="http://schemas.microsoft.com/office/drawing/2014/main" id="{29243A2D-8D3B-3D19-E73F-6E3C013B20B2}"/>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3592174" y="1266826"/>
              <a:ext cx="1038225" cy="80962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28</xdr:col>
      <xdr:colOff>156482</xdr:colOff>
      <xdr:row>0</xdr:row>
      <xdr:rowOff>104775</xdr:rowOff>
    </xdr:from>
    <xdr:to>
      <xdr:col>29</xdr:col>
      <xdr:colOff>842282</xdr:colOff>
      <xdr:row>0</xdr:row>
      <xdr:rowOff>1095375</xdr:rowOff>
    </xdr:to>
    <mc:AlternateContent xmlns:mc="http://schemas.openxmlformats.org/markup-compatibility/2006" xmlns:sle15="http://schemas.microsoft.com/office/drawing/2012/slicer">
      <mc:Choice Requires="sle15">
        <xdr:graphicFrame macro="">
          <xdr:nvGraphicFramePr>
            <xdr:cNvPr id="3" name="Level">
              <a:extLst>
                <a:ext uri="{FF2B5EF4-FFF2-40B4-BE49-F238E27FC236}">
                  <a16:creationId xmlns:a16="http://schemas.microsoft.com/office/drawing/2014/main" id="{429C1B4F-CDCD-1DA9-FDF4-1678C1E64E48}"/>
                </a:ext>
              </a:extLst>
            </xdr:cNvPr>
            <xdr:cNvGraphicFramePr/>
          </xdr:nvGraphicFramePr>
          <xdr:xfrm>
            <a:off x="0" y="0"/>
            <a:ext cx="0" cy="0"/>
          </xdr:xfrm>
          <a:graphic>
            <a:graphicData uri="http://schemas.microsoft.com/office/drawing/2010/slicer">
              <sle:slicer xmlns:sle="http://schemas.microsoft.com/office/drawing/2010/slicer" name="Level"/>
            </a:graphicData>
          </a:graphic>
        </xdr:graphicFrame>
      </mc:Choice>
      <mc:Fallback xmlns="">
        <xdr:sp macro="" textlink="">
          <xdr:nvSpPr>
            <xdr:cNvPr id="0" name=""/>
            <xdr:cNvSpPr>
              <a:spLocks noTextEdit="1"/>
            </xdr:cNvSpPr>
          </xdr:nvSpPr>
          <xdr:spPr>
            <a:xfrm>
              <a:off x="13582650" y="104775"/>
              <a:ext cx="1676400" cy="9906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29</xdr:col>
      <xdr:colOff>1</xdr:colOff>
      <xdr:row>1</xdr:row>
      <xdr:rowOff>0</xdr:rowOff>
    </xdr:from>
    <xdr:to>
      <xdr:col>32</xdr:col>
      <xdr:colOff>474435</xdr:colOff>
      <xdr:row>10</xdr:row>
      <xdr:rowOff>136071</xdr:rowOff>
    </xdr:to>
    <xdr:pic>
      <xdr:nvPicPr>
        <xdr:cNvPr id="4" name="Picture 3">
          <a:extLst>
            <a:ext uri="{FF2B5EF4-FFF2-40B4-BE49-F238E27FC236}">
              <a16:creationId xmlns:a16="http://schemas.microsoft.com/office/drawing/2014/main" id="{E898A7BF-F4DC-C9A7-C5F4-2FABEF1D727A}"/>
            </a:ext>
          </a:extLst>
        </xdr:cNvPr>
        <xdr:cNvPicPr>
          <a:picLocks noChangeAspect="1"/>
        </xdr:cNvPicPr>
      </xdr:nvPicPr>
      <xdr:blipFill>
        <a:blip xmlns:r="http://schemas.openxmlformats.org/officeDocument/2006/relationships" r:embed="rId1"/>
        <a:stretch>
          <a:fillRect/>
        </a:stretch>
      </xdr:blipFill>
      <xdr:spPr>
        <a:xfrm>
          <a:off x="14301108" y="2258786"/>
          <a:ext cx="3685720" cy="18505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942975</xdr:colOff>
      <xdr:row>20</xdr:row>
      <xdr:rowOff>133350</xdr:rowOff>
    </xdr:from>
    <xdr:to>
      <xdr:col>7</xdr:col>
      <xdr:colOff>171450</xdr:colOff>
      <xdr:row>31</xdr:row>
      <xdr:rowOff>123825</xdr:rowOff>
    </xdr:to>
    <xdr:pic>
      <xdr:nvPicPr>
        <xdr:cNvPr id="4" name="Picture 3">
          <a:extLst>
            <a:ext uri="{FF2B5EF4-FFF2-40B4-BE49-F238E27FC236}">
              <a16:creationId xmlns:a16="http://schemas.microsoft.com/office/drawing/2014/main" id="{BE97069E-0AA3-005F-98A0-52D139EE1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9200" y="4105275"/>
          <a:ext cx="7143750" cy="2609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19050</xdr:colOff>
          <xdr:row>0</xdr:row>
          <xdr:rowOff>0</xdr:rowOff>
        </xdr:from>
        <xdr:to>
          <xdr:col>19</xdr:col>
          <xdr:colOff>1609725</xdr:colOff>
          <xdr:row>1</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8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all report cards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19050</xdr:colOff>
          <xdr:row>0</xdr:row>
          <xdr:rowOff>0</xdr:rowOff>
        </xdr:from>
        <xdr:to>
          <xdr:col>33</xdr:col>
          <xdr:colOff>1609725</xdr:colOff>
          <xdr:row>1</xdr:row>
          <xdr:rowOff>0</xdr:rowOff>
        </xdr:to>
        <xdr:sp macro="" textlink="">
          <xdr:nvSpPr>
            <xdr:cNvPr id="58369" name="Button 3" hidden="1">
              <a:extLst>
                <a:ext uri="{63B3BB69-23CF-44E3-9099-C40C66FF867C}">
                  <a14:compatExt spid="_x0000_s58369"/>
                </a:ext>
                <a:ext uri="{FF2B5EF4-FFF2-40B4-BE49-F238E27FC236}">
                  <a16:creationId xmlns:a16="http://schemas.microsoft.com/office/drawing/2014/main" id="{8C1A72C9-D4B8-45A7-970F-506E833615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all report cards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19050</xdr:colOff>
          <xdr:row>0</xdr:row>
          <xdr:rowOff>0</xdr:rowOff>
        </xdr:from>
        <xdr:to>
          <xdr:col>33</xdr:col>
          <xdr:colOff>1609725</xdr:colOff>
          <xdr:row>1</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9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all report cards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10</xdr:col>
      <xdr:colOff>7256</xdr:colOff>
      <xdr:row>31</xdr:row>
      <xdr:rowOff>7257</xdr:rowOff>
    </xdr:from>
    <xdr:to>
      <xdr:col>22</xdr:col>
      <xdr:colOff>7256</xdr:colOff>
      <xdr:row>33</xdr:row>
      <xdr:rowOff>7257</xdr:rowOff>
    </xdr:to>
    <xdr:sp macro="" textlink="">
      <xdr:nvSpPr>
        <xdr:cNvPr id="3" name="Rectangle: Rounded Corners 2">
          <a:extLst>
            <a:ext uri="{FF2B5EF4-FFF2-40B4-BE49-F238E27FC236}">
              <a16:creationId xmlns:a16="http://schemas.microsoft.com/office/drawing/2014/main" id="{00000000-0008-0000-0800-000003000000}"/>
            </a:ext>
          </a:extLst>
        </xdr:cNvPr>
        <xdr:cNvSpPr/>
      </xdr:nvSpPr>
      <xdr:spPr>
        <a:xfrm>
          <a:off x="2241515" y="7156887"/>
          <a:ext cx="2681111" cy="446851"/>
        </a:xfrm>
        <a:prstGeom prst="roundRect">
          <a:avLst>
            <a:gd name="adj" fmla="val 50000"/>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ysClr val="windowText" lastClr="000000"/>
              </a:solidFill>
            </a:rPr>
            <a:t>Parent signature:</a:t>
          </a:r>
        </a:p>
      </xdr:txBody>
    </xdr:sp>
    <xdr:clientData/>
  </xdr:twoCellAnchor>
  <xdr:twoCellAnchor editAs="oneCell">
    <xdr:from>
      <xdr:col>11</xdr:col>
      <xdr:colOff>-1</xdr:colOff>
      <xdr:row>4</xdr:row>
      <xdr:rowOff>0</xdr:rowOff>
    </xdr:from>
    <xdr:to>
      <xdr:col>21</xdr:col>
      <xdr:colOff>4466</xdr:colOff>
      <xdr:row>14</xdr:row>
      <xdr:rowOff>1</xdr:rowOff>
    </xdr:to>
    <xdr:pic>
      <xdr:nvPicPr>
        <xdr:cNvPr id="5" name="Picture 4">
          <a:extLst>
            <a:ext uri="{FF2B5EF4-FFF2-40B4-BE49-F238E27FC236}">
              <a16:creationId xmlns:a16="http://schemas.microsoft.com/office/drawing/2014/main" id="{825DBC7C-BCBD-D8DC-D80A-926725E10B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44535" y="1850571"/>
          <a:ext cx="2317681" cy="23132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37</xdr:col>
          <xdr:colOff>0</xdr:colOff>
          <xdr:row>20</xdr:row>
          <xdr:rowOff>0</xdr:rowOff>
        </xdr:from>
        <xdr:to>
          <xdr:col>38</xdr:col>
          <xdr:colOff>0</xdr:colOff>
          <xdr:row>21</xdr:row>
          <xdr:rowOff>0</xdr:rowOff>
        </xdr:to>
        <xdr:sp macro="" textlink="">
          <xdr:nvSpPr>
            <xdr:cNvPr id="38938" name="TextBox2" hidden="1">
              <a:extLst>
                <a:ext uri="{63B3BB69-23CF-44E3-9099-C40C66FF867C}">
                  <a14:compatExt spid="_x0000_s38938"/>
                </a:ext>
                <a:ext uri="{FF2B5EF4-FFF2-40B4-BE49-F238E27FC236}">
                  <a16:creationId xmlns:a16="http://schemas.microsoft.com/office/drawing/2014/main" id="{00000000-0008-0000-0B00-00001A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21</xdr:row>
          <xdr:rowOff>0</xdr:rowOff>
        </xdr:from>
        <xdr:to>
          <xdr:col>38</xdr:col>
          <xdr:colOff>0</xdr:colOff>
          <xdr:row>22</xdr:row>
          <xdr:rowOff>0</xdr:rowOff>
        </xdr:to>
        <xdr:sp macro="" textlink="">
          <xdr:nvSpPr>
            <xdr:cNvPr id="38939" name="TextBox3" hidden="1">
              <a:extLst>
                <a:ext uri="{63B3BB69-23CF-44E3-9099-C40C66FF867C}">
                  <a14:compatExt spid="_x0000_s38939"/>
                </a:ext>
                <a:ext uri="{FF2B5EF4-FFF2-40B4-BE49-F238E27FC236}">
                  <a16:creationId xmlns:a16="http://schemas.microsoft.com/office/drawing/2014/main" id="{00000000-0008-0000-0B00-00001B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19</xdr:row>
          <xdr:rowOff>0</xdr:rowOff>
        </xdr:from>
        <xdr:to>
          <xdr:col>38</xdr:col>
          <xdr:colOff>0</xdr:colOff>
          <xdr:row>20</xdr:row>
          <xdr:rowOff>0</xdr:rowOff>
        </xdr:to>
        <xdr:sp macro="" textlink="">
          <xdr:nvSpPr>
            <xdr:cNvPr id="38940" name="TextBox1" hidden="1">
              <a:extLst>
                <a:ext uri="{63B3BB69-23CF-44E3-9099-C40C66FF867C}">
                  <a14:compatExt spid="_x0000_s38940"/>
                </a:ext>
                <a:ext uri="{FF2B5EF4-FFF2-40B4-BE49-F238E27FC236}">
                  <a16:creationId xmlns:a16="http://schemas.microsoft.com/office/drawing/2014/main" id="{00000000-0008-0000-0B00-00001C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47</xdr:col>
      <xdr:colOff>0</xdr:colOff>
      <xdr:row>7</xdr:row>
      <xdr:rowOff>0</xdr:rowOff>
    </xdr:from>
    <xdr:to>
      <xdr:col>48</xdr:col>
      <xdr:colOff>1981200</xdr:colOff>
      <xdr:row>10</xdr:row>
      <xdr:rowOff>9525</xdr:rowOff>
    </xdr:to>
    <xdr:pic>
      <xdr:nvPicPr>
        <xdr:cNvPr id="2" name="Picture 1">
          <a:extLst>
            <a:ext uri="{FF2B5EF4-FFF2-40B4-BE49-F238E27FC236}">
              <a16:creationId xmlns:a16="http://schemas.microsoft.com/office/drawing/2014/main" id="{9BD7291B-AA20-2BE0-2F0B-44079400AE3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20800" y="2514600"/>
          <a:ext cx="4200525" cy="1381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vening - gender" id="{D79455C4-414C-4578-89DB-6C5ECC1141C5}">
    <nsvFilter filterId="{9A84D26A-BA7A-47F8-82C1-BCA8538CCC59}" ref="A1:AB362" tableId="2">
      <sortRules>
        <sortRule colId="24" id="{CB274CF2-96F4-4DD2-A29A-12436F43EA6D}">
          <sortCondition descending="1" ref="Y1:Y362"/>
        </sortRule>
        <sortRule colId="19" id="{B0195F2F-749C-4811-91EC-0037CB678453}">
          <sortCondition ref="T1:T362"/>
        </sortRule>
        <sortRule colId="25" id="{FF3B32FE-8E46-4EE4-B780-6C77215D48F2}">
          <sortCondition ref="Z1:Z362"/>
        </sortRule>
      </sortRules>
    </nsvFilter>
  </namedSheetView>
  <namedSheetView name="level-gender-rn weekend" id="{5E3670EA-1B1E-4B3C-B98F-9148586EF34D}">
    <nsvFilter filterId="{9A84D26A-BA7A-47F8-82C1-BCA8538CCC59}" ref="A1:AB362" tableId="2">
      <sortRules>
        <sortRule colId="21" id="{0D804410-D115-4EFA-9A99-886A47568C28}">
          <sortCondition ref="V1:V362"/>
        </sortRule>
        <sortRule colId="19" id="{B0195F2F-749C-4811-91EC-0037CB678453}">
          <sortCondition ref="T1:T362"/>
        </sortRule>
        <sortRule colId="23" id="{28DE98A3-02BA-4F4D-8724-B6BEE7A72D05}">
          <sortCondition ref="X1:X362"/>
        </sortRule>
      </sortRules>
    </nsvFilter>
  </namedSheetView>
  <namedSheetView name="View1" id="{983D15C3-779B-45B5-9B3A-7BFFB1957F6C}">
    <nsvFilter filterId="{9A84D26A-BA7A-47F8-82C1-BCA8538CCC59}" ref="A1:AB362" tableId="2">
      <columnFilter colId="19" id="{B0195F2F-749C-4811-91EC-0037CB678453}">
        <filter colId="19">
          <x:filters>
            <x:filter val="F"/>
          </x:filters>
        </filter>
      </columnFilter>
      <columnFilter colId="21" id="{0D804410-D115-4EFA-9A99-886A47568C28}">
        <filter colId="21">
          <x:filters blank="1">
            <x:filter val="1a"/>
            <x:filter val="1b"/>
            <x:filter val="1c"/>
          </x:filters>
        </filter>
      </columnFilter>
    </nsvFilter>
  </namedSheetView>
</namedSheetView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Islamic center Of Warren" refreshedDate="46152.408250231485" createdVersion="8" refreshedVersion="8" minRefreshableVersion="3" recordCount="361" xr:uid="{BDAE2043-3F83-4CEE-9856-306F7D1DE69D}">
  <cacheSource type="worksheet">
    <worksheetSource name="studentdata"/>
  </cacheSource>
  <cacheFields count="28">
    <cacheField name="DOB" numFmtId="0">
      <sharedItems containsDate="1" containsString="0" containsBlank="1" containsMixedTypes="1" minDate="1899-12-31T00:00:00" maxDate="2022-07-01T00:00:00"/>
    </cacheField>
    <cacheField name="Group" numFmtId="0">
      <sharedItems containsDate="1" containsBlank="1" containsMixedTypes="1" minDate="1899-12-31T04:01:03" maxDate="1900-01-03T00:00:00"/>
    </cacheField>
    <cacheField name="Address" numFmtId="0">
      <sharedItems containsBlank="1"/>
    </cacheField>
    <cacheField name="City" numFmtId="0">
      <sharedItems containsBlank="1"/>
    </cacheField>
    <cacheField name="State" numFmtId="0">
      <sharedItems containsBlank="1"/>
    </cacheField>
    <cacheField name="Zip Code" numFmtId="0">
      <sharedItems containsString="0" containsBlank="1" containsNumber="1" containsInteger="1" minValue="0" maxValue="48314"/>
    </cacheField>
    <cacheField name="Email ID (Parent)" numFmtId="0">
      <sharedItems containsBlank="1" containsMixedTypes="1" containsNumber="1" containsInteger="1" minValue="0" maxValue="0"/>
    </cacheField>
    <cacheField name="Emergency Contact Name" numFmtId="0">
      <sharedItems containsBlank="1" containsMixedTypes="1" containsNumber="1" containsInteger="1" minValue="0" maxValue="0"/>
    </cacheField>
    <cacheField name="Emergency Contact Relationship" numFmtId="0">
      <sharedItems containsBlank="1" containsMixedTypes="1" containsNumber="1" containsInteger="1" minValue="0" maxValue="0"/>
    </cacheField>
    <cacheField name="Emergency Contact Home Phone" numFmtId="0">
      <sharedItems containsBlank="1" containsMixedTypes="1" containsNumber="1" containsInteger="1" minValue="0" maxValue="19733564233"/>
    </cacheField>
    <cacheField name="Emergency Contact Cell Phone" numFmtId="0">
      <sharedItems containsBlank="1" containsMixedTypes="1" containsNumber="1" containsInteger="1" minValue="0" maxValue="18622878900"/>
    </cacheField>
    <cacheField name="Emergency Contact Email" numFmtId="0">
      <sharedItems containsString="0" containsBlank="1" containsNumber="1" containsInteger="1" minValue="0" maxValue="0"/>
    </cacheField>
    <cacheField name="SN" numFmtId="0">
      <sharedItems containsSemiMixedTypes="0" containsString="0" containsNumber="1" containsInteger="1" minValue="1" maxValue="366"/>
    </cacheField>
    <cacheField name="Name" numFmtId="0">
      <sharedItems containsBlank="1"/>
    </cacheField>
    <cacheField name="RG" numFmtId="0">
      <sharedItems containsString="0" containsBlank="1" containsNumber="1" containsInteger="1" minValue="1" maxValue="222"/>
    </cacheField>
    <cacheField name="Father Name" numFmtId="0">
      <sharedItems containsBlank="1"/>
    </cacheField>
    <cacheField name="Father Phone" numFmtId="0">
      <sharedItems containsString="0" containsBlank="1" containsNumber="1" containsInteger="1" minValue="2132496790" maxValue="19734139701"/>
    </cacheField>
    <cacheField name="Mother Name" numFmtId="0">
      <sharedItems containsBlank="1"/>
    </cacheField>
    <cacheField name="Mother Phone" numFmtId="0">
      <sharedItems containsString="0" containsBlank="1" containsNumber="1" containsInteger="1" minValue="0" maxValue="18622620684"/>
    </cacheField>
    <cacheField name="Gender" numFmtId="0">
      <sharedItems containsBlank="1" count="5">
        <s v="F"/>
        <s v="M"/>
        <m/>
        <s v="Female" u="1"/>
        <s v="Male" u="1"/>
      </sharedItems>
    </cacheField>
    <cacheField name="Grade" numFmtId="0">
      <sharedItems containsBlank="1" containsMixedTypes="1" containsNumber="1" containsInteger="1" minValue="0" maxValue="0" count="16">
        <m/>
        <s v="5th Grade"/>
        <s v="3rd Grade"/>
        <s v="Kindergarten"/>
        <s v="4th Grade"/>
        <s v="1st Grade"/>
        <s v="6th Grade"/>
        <s v="2nd Grade"/>
        <s v="9th Grade"/>
        <s v="7th Grade"/>
        <s v="8th Grade"/>
        <s v="11th Grade"/>
        <s v="10th Grade"/>
        <s v="12th Grade"/>
        <s v="PRE-K"/>
        <n v="0" u="1"/>
      </sharedItems>
    </cacheField>
    <cacheField name="Level" numFmtId="0">
      <sharedItems containsBlank="1" containsMixedTypes="1" containsNumber="1" containsInteger="1" minValue="2" maxValue="4" count="7">
        <m/>
        <n v="3"/>
        <n v="2"/>
        <s v="1a"/>
        <n v="4"/>
        <s v="1c"/>
        <s v="1b"/>
      </sharedItems>
    </cacheField>
    <cacheField name="Weekend 2025 Enrolled" numFmtId="0">
      <sharedItems containsBlank="1" count="4">
        <s v=""/>
        <s v="Yes"/>
        <m/>
        <s v="No" u="1"/>
      </sharedItems>
    </cacheField>
    <cacheField name="Weekend 2025" numFmtId="0">
      <sharedItems containsString="0" containsBlank="1" containsNumber="1" containsInteger="1" minValue="1" maxValue="50"/>
    </cacheField>
    <cacheField name="Evening 2025 Enrolled" numFmtId="0">
      <sharedItems containsBlank="1" count="4">
        <s v="Yes"/>
        <s v=""/>
        <m/>
        <s v="No" u="1"/>
      </sharedItems>
    </cacheField>
    <cacheField name="Evening 2025" numFmtId="0">
      <sharedItems containsString="0" containsBlank="1" containsNumber="1" containsInteger="1" minValue="1" maxValue="50"/>
    </cacheField>
    <cacheField name="Concerned" numFmtId="0">
      <sharedItems containsNonDate="0" containsString="0" containsBlank="1"/>
    </cacheField>
    <cacheField name="Session Enrollment" numFmtId="0">
      <sharedItems containsBlank="1" count="4">
        <s v="Yes"/>
        <s v=""/>
        <m/>
        <s v="No"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1">
  <r>
    <m/>
    <n v="1"/>
    <s v="3555 Chase Dr"/>
    <s v="Warren"/>
    <s v="MI"/>
    <n v="48091"/>
    <m/>
    <s v="Jubel Ahmed"/>
    <s v="Uncle"/>
    <m/>
    <n v="13136031250"/>
    <m/>
    <n v="1"/>
    <s v="Israa Ahmed"/>
    <n v="1"/>
    <s v="Zakir Ahmed"/>
    <n v="12484796254"/>
    <s v="Sharmin Ahmed"/>
    <m/>
    <x v="0"/>
    <x v="0"/>
    <x v="0"/>
    <x v="0"/>
    <m/>
    <x v="0"/>
    <n v="6"/>
    <m/>
    <x v="0"/>
  </r>
  <r>
    <m/>
    <m/>
    <s v="3555 Chase Dr"/>
    <s v="Warren"/>
    <s v="MI"/>
    <n v="48091"/>
    <m/>
    <s v="Jubel Ahmed"/>
    <s v="Uncle"/>
    <m/>
    <n v="13136031250"/>
    <m/>
    <n v="2"/>
    <s v="Ikraam Kashim Ahmed"/>
    <n v="1"/>
    <s v="Zakir Ahmed"/>
    <n v="12484796254"/>
    <s v="Sharmin Ahmed"/>
    <m/>
    <x v="1"/>
    <x v="0"/>
    <x v="0"/>
    <x v="0"/>
    <m/>
    <x v="0"/>
    <n v="19"/>
    <m/>
    <x v="0"/>
  </r>
  <r>
    <n v="10"/>
    <s v="Hifz"/>
    <s v="31920 Cleays Dr"/>
    <s v="Warren"/>
    <s v="MI"/>
    <n v="48093"/>
    <s v="mofizurlablu@gmail.com"/>
    <m/>
    <m/>
    <n v="18622875350"/>
    <n v="18622878900"/>
    <m/>
    <n v="3"/>
    <s v="Mahdi Rahman"/>
    <n v="2"/>
    <s v="Mofizur Lablu"/>
    <n v="18623373593"/>
    <s v="Minara Ali"/>
    <n v="18622620684"/>
    <x v="1"/>
    <x v="1"/>
    <x v="1"/>
    <x v="1"/>
    <n v="7"/>
    <x v="1"/>
    <m/>
    <m/>
    <x v="0"/>
  </r>
  <r>
    <n v="8"/>
    <s v="Sifara"/>
    <s v="14758 Shirlen Ave"/>
    <s v="Warren"/>
    <s v="MI"/>
    <n v="0"/>
    <m/>
    <m/>
    <m/>
    <m/>
    <m/>
    <m/>
    <n v="4"/>
    <s v="Sadia Hoque"/>
    <n v="3"/>
    <s v="Anamul Hoque"/>
    <n v="19734137387"/>
    <s v="Farjana Begum"/>
    <m/>
    <x v="0"/>
    <x v="2"/>
    <x v="2"/>
    <x v="1"/>
    <n v="11"/>
    <x v="1"/>
    <m/>
    <m/>
    <x v="0"/>
  </r>
  <r>
    <n v="5"/>
    <s v="Qaida"/>
    <s v="14758 Shirlen Ave"/>
    <s v="Warren"/>
    <s v="MI"/>
    <n v="0"/>
    <m/>
    <m/>
    <m/>
    <m/>
    <m/>
    <m/>
    <n v="5"/>
    <s v="Ibrahim Hoque"/>
    <n v="3"/>
    <s v="Anamul Hoque"/>
    <n v="19734137387"/>
    <s v="Farjana Begum"/>
    <m/>
    <x v="1"/>
    <x v="3"/>
    <x v="3"/>
    <x v="1"/>
    <n v="2"/>
    <x v="1"/>
    <m/>
    <m/>
    <x v="0"/>
  </r>
  <r>
    <n v="10"/>
    <m/>
    <s v="4412 Bennington"/>
    <s v="Sterling Heights"/>
    <s v="MI"/>
    <n v="48310"/>
    <m/>
    <m/>
    <m/>
    <m/>
    <m/>
    <m/>
    <n v="6"/>
    <s v="Iqra Choudhury"/>
    <n v="4"/>
    <s v="Tanvir Choudhury"/>
    <n v="13134158774"/>
    <s v="Farzana Choudhury"/>
    <m/>
    <x v="0"/>
    <x v="4"/>
    <x v="0"/>
    <x v="0"/>
    <m/>
    <x v="1"/>
    <m/>
    <m/>
    <x v="1"/>
  </r>
  <r>
    <n v="7"/>
    <m/>
    <s v="26642 Wagner"/>
    <s v="Warren"/>
    <s v="MI"/>
    <n v="48089"/>
    <m/>
    <m/>
    <m/>
    <m/>
    <m/>
    <m/>
    <n v="7"/>
    <s v="Tawaf Ahmed"/>
    <n v="5"/>
    <s v="Foyysol Ahmed"/>
    <n v="13133981349"/>
    <s v="Tanya Ahmed"/>
    <m/>
    <x v="1"/>
    <x v="5"/>
    <x v="0"/>
    <x v="0"/>
    <m/>
    <x v="1"/>
    <m/>
    <m/>
    <x v="1"/>
  </r>
  <r>
    <n v="12"/>
    <m/>
    <s v="26642 Wagner"/>
    <s v="Warren"/>
    <s v="MI"/>
    <n v="48089"/>
    <m/>
    <m/>
    <m/>
    <m/>
    <m/>
    <m/>
    <n v="8"/>
    <s v="Tanisha Ahmed"/>
    <n v="5"/>
    <s v="Foyysol Ahmed"/>
    <n v="13133981349"/>
    <s v="Tanya Ahmed"/>
    <m/>
    <x v="0"/>
    <x v="6"/>
    <x v="0"/>
    <x v="0"/>
    <m/>
    <x v="1"/>
    <m/>
    <m/>
    <x v="1"/>
  </r>
  <r>
    <n v="8"/>
    <m/>
    <s v="28045 Liberty Dr"/>
    <s v="Warren"/>
    <s v="MI"/>
    <n v="0"/>
    <m/>
    <m/>
    <m/>
    <m/>
    <m/>
    <m/>
    <n v="9"/>
    <s v="MD Affan Khan"/>
    <n v="6"/>
    <s v="MD Rayhan Khan"/>
    <n v="13134551630"/>
    <s v="Redwana Haque"/>
    <n v="13133670566"/>
    <x v="1"/>
    <x v="7"/>
    <x v="0"/>
    <x v="0"/>
    <m/>
    <x v="1"/>
    <m/>
    <m/>
    <x v="1"/>
  </r>
  <r>
    <n v="10"/>
    <m/>
    <s v="23939 Ada Ave"/>
    <s v="Warren"/>
    <s v="MI"/>
    <n v="48091"/>
    <s v="fahmianp@gmail.com"/>
    <m/>
    <m/>
    <m/>
    <m/>
    <m/>
    <n v="10"/>
    <s v="Zahra Islam"/>
    <n v="7"/>
    <s v="Md Helalul Islam"/>
    <n v="12484347251"/>
    <s v="Mst. Fahmida Yasmin"/>
    <n v="15864386185"/>
    <x v="0"/>
    <x v="4"/>
    <x v="4"/>
    <x v="1"/>
    <n v="16"/>
    <x v="1"/>
    <m/>
    <m/>
    <x v="0"/>
  </r>
  <r>
    <m/>
    <m/>
    <s v="23939 Ada Ave"/>
    <s v="Warren"/>
    <s v="MI"/>
    <n v="48091"/>
    <s v="fahmianp@gmail.com"/>
    <m/>
    <m/>
    <m/>
    <m/>
    <m/>
    <n v="11"/>
    <s v="Sabrina Islam"/>
    <n v="7"/>
    <s v="Md Helalul Islam"/>
    <n v="12484347251"/>
    <s v="Mst. Fahmida Yasmin"/>
    <n v="15864386185"/>
    <x v="0"/>
    <x v="0"/>
    <x v="5"/>
    <x v="1"/>
    <n v="10"/>
    <x v="1"/>
    <m/>
    <m/>
    <x v="0"/>
  </r>
  <r>
    <n v="8"/>
    <m/>
    <s v="26703 Wexford Dr"/>
    <s v="Warren"/>
    <s v="MI"/>
    <n v="48091"/>
    <m/>
    <m/>
    <m/>
    <m/>
    <m/>
    <m/>
    <n v="12"/>
    <s v="Aleesha Hasan"/>
    <n v="8"/>
    <s v="Muhammad Hasan"/>
    <n v="13137440046"/>
    <m/>
    <m/>
    <x v="0"/>
    <x v="4"/>
    <x v="2"/>
    <x v="1"/>
    <n v="1"/>
    <x v="1"/>
    <m/>
    <m/>
    <x v="0"/>
  </r>
  <r>
    <n v="11"/>
    <s v="Hifz"/>
    <s v="26703 Wexford Dr"/>
    <s v="Warren"/>
    <s v="MI"/>
    <n v="48091"/>
    <m/>
    <m/>
    <m/>
    <m/>
    <m/>
    <m/>
    <n v="13"/>
    <s v="Shahadat Hasan"/>
    <n v="8"/>
    <s v="Muhammad Hasan"/>
    <n v="13137440046"/>
    <m/>
    <m/>
    <x v="1"/>
    <x v="6"/>
    <x v="1"/>
    <x v="1"/>
    <n v="11"/>
    <x v="1"/>
    <m/>
    <m/>
    <x v="0"/>
  </r>
  <r>
    <n v="5"/>
    <s v="Qaida"/>
    <s v="26703 Wexford Dr"/>
    <s v="Warren"/>
    <s v="MI"/>
    <n v="48091"/>
    <m/>
    <m/>
    <m/>
    <m/>
    <m/>
    <m/>
    <n v="14"/>
    <s v="Adyan Ahmed Hasan"/>
    <n v="8"/>
    <s v="Muhammad Hasan"/>
    <n v="13137440046"/>
    <m/>
    <m/>
    <x v="1"/>
    <x v="5"/>
    <x v="6"/>
    <x v="1"/>
    <n v="1"/>
    <x v="1"/>
    <m/>
    <m/>
    <x v="0"/>
  </r>
  <r>
    <n v="14"/>
    <m/>
    <s v="28117 Liberty Dr"/>
    <s v="Warren"/>
    <s v="MI"/>
    <n v="48092"/>
    <m/>
    <m/>
    <m/>
    <m/>
    <m/>
    <m/>
    <n v="15"/>
    <s v="Rafi Ahmed"/>
    <n v="9"/>
    <s v="Koyes Ahmed"/>
    <n v="13136852777"/>
    <s v="Tamanna Begum"/>
    <n v="15863036851"/>
    <x v="1"/>
    <x v="8"/>
    <x v="4"/>
    <x v="1"/>
    <n v="1"/>
    <x v="1"/>
    <m/>
    <m/>
    <x v="0"/>
  </r>
  <r>
    <n v="5"/>
    <s v="Qaida"/>
    <s v="28117 Liberty Dr"/>
    <s v="Warren"/>
    <s v="MI"/>
    <n v="48092"/>
    <m/>
    <m/>
    <m/>
    <m/>
    <m/>
    <m/>
    <n v="16"/>
    <s v="Rami Ahmed"/>
    <n v="9"/>
    <s v="Koyes Ahmed"/>
    <n v="13136852777"/>
    <s v="Tamanna Begum"/>
    <n v="15863036851"/>
    <x v="1"/>
    <x v="3"/>
    <x v="3"/>
    <x v="0"/>
    <m/>
    <x v="1"/>
    <m/>
    <m/>
    <x v="1"/>
  </r>
  <r>
    <n v="10"/>
    <m/>
    <s v="28117 Liberty Dr"/>
    <s v="Warren"/>
    <s v="MI"/>
    <n v="48092"/>
    <m/>
    <m/>
    <m/>
    <m/>
    <m/>
    <m/>
    <n v="17"/>
    <s v="Abia Mahreen"/>
    <n v="9"/>
    <s v="Koyes Ahmed"/>
    <n v="13136852777"/>
    <s v="Tamanna Begum"/>
    <n v="15863036851"/>
    <x v="0"/>
    <x v="1"/>
    <x v="4"/>
    <x v="1"/>
    <n v="1"/>
    <x v="1"/>
    <m/>
    <m/>
    <x v="0"/>
  </r>
  <r>
    <n v="10"/>
    <m/>
    <s v="3648 Morrissey Ave"/>
    <s v="Warren"/>
    <s v="MI"/>
    <n v="48091"/>
    <s v="helalabedin1977@gmail.com"/>
    <m/>
    <m/>
    <m/>
    <m/>
    <m/>
    <n v="18"/>
    <s v="Mohammad Hasan"/>
    <n v="10"/>
    <s v="Mohammad H Abedin"/>
    <n v="15863433823"/>
    <s v="Shahnaj Akter"/>
    <n v="15863933823"/>
    <x v="1"/>
    <x v="2"/>
    <x v="2"/>
    <x v="1"/>
    <n v="8"/>
    <x v="1"/>
    <m/>
    <m/>
    <x v="0"/>
  </r>
  <r>
    <n v="7"/>
    <m/>
    <s v="3648 Morrissey Ave"/>
    <s v="Warren"/>
    <s v="MI"/>
    <n v="48091"/>
    <s v="helalabedin1977@gmail.com"/>
    <m/>
    <m/>
    <m/>
    <m/>
    <m/>
    <n v="19"/>
    <s v="Amina Abedin"/>
    <n v="10"/>
    <s v="Mohammad H Abedin"/>
    <n v="15863433823"/>
    <s v="Shahnaj Akter"/>
    <n v="15863933823"/>
    <x v="0"/>
    <x v="3"/>
    <x v="6"/>
    <x v="1"/>
    <n v="10"/>
    <x v="1"/>
    <m/>
    <m/>
    <x v="0"/>
  </r>
  <r>
    <n v="11"/>
    <s v="Hifz"/>
    <s v="24232 Loretta Ave"/>
    <s v="Warren"/>
    <s v="MI"/>
    <n v="48091"/>
    <m/>
    <s v="Samia Samad"/>
    <s v="Sister"/>
    <m/>
    <n v="15862247494"/>
    <m/>
    <n v="20"/>
    <s v="Aryan Samad"/>
    <n v="11"/>
    <s v="Abdus Samad"/>
    <n v="15862246316"/>
    <s v="Rifa Suhana"/>
    <m/>
    <x v="1"/>
    <x v="0"/>
    <x v="4"/>
    <x v="1"/>
    <n v="13"/>
    <x v="0"/>
    <n v="1"/>
    <m/>
    <x v="0"/>
  </r>
  <r>
    <n v="6"/>
    <m/>
    <s v="25697 Cloic Dr"/>
    <s v="Warren"/>
    <s v="MI"/>
    <n v="48089"/>
    <m/>
    <m/>
    <m/>
    <m/>
    <m/>
    <m/>
    <n v="21"/>
    <s v="Irfan Ahmed"/>
    <n v="12"/>
    <s v="Md Minur Ahmed"/>
    <n v="13139857629"/>
    <s v="Nowshin Jahan Jarin"/>
    <m/>
    <x v="1"/>
    <x v="3"/>
    <x v="3"/>
    <x v="0"/>
    <m/>
    <x v="1"/>
    <m/>
    <m/>
    <x v="1"/>
  </r>
  <r>
    <n v="6"/>
    <m/>
    <s v="26136 Dover Ave"/>
    <s v="Warren"/>
    <s v="MI"/>
    <n v="48089"/>
    <m/>
    <s v="Radwan Ahmed"/>
    <s v="Brother"/>
    <m/>
    <n v="13477536579"/>
    <m/>
    <n v="22"/>
    <s v="Ameera Haque Nimmi"/>
    <n v="13"/>
    <s v="Nizamul Haque"/>
    <n v="12138201848"/>
    <s v="Syeda Tanzima Begum"/>
    <m/>
    <x v="0"/>
    <x v="3"/>
    <x v="0"/>
    <x v="0"/>
    <m/>
    <x v="1"/>
    <m/>
    <m/>
    <x v="1"/>
  </r>
  <r>
    <n v="8"/>
    <m/>
    <s v="25625 Cloie Dr"/>
    <s v="Warren"/>
    <s v="MI"/>
    <n v="48089"/>
    <m/>
    <s v="Shamira Chowdhury"/>
    <s v="Aunty"/>
    <m/>
    <n v="13479937949"/>
    <m/>
    <n v="23"/>
    <s v="Saif Ahmed"/>
    <n v="14"/>
    <s v="Radwan Ahmed"/>
    <n v="13477536579"/>
    <s v="Tammi Begum"/>
    <m/>
    <x v="1"/>
    <x v="7"/>
    <x v="0"/>
    <x v="0"/>
    <m/>
    <x v="1"/>
    <m/>
    <m/>
    <x v="1"/>
  </r>
  <r>
    <n v="11"/>
    <m/>
    <s v="26655 Potomac ct Center Line"/>
    <s v="Warren"/>
    <s v="MI"/>
    <n v="48015"/>
    <m/>
    <s v="Pervez Hussain"/>
    <s v="Friend"/>
    <m/>
    <n v="12482514775"/>
    <m/>
    <n v="24"/>
    <s v="Rafi Uddin"/>
    <n v="15"/>
    <s v="Musleh Uddin"/>
    <n v="13135291946"/>
    <s v="Israt Uddin"/>
    <m/>
    <x v="1"/>
    <x v="1"/>
    <x v="2"/>
    <x v="1"/>
    <n v="10"/>
    <x v="1"/>
    <m/>
    <m/>
    <x v="0"/>
  </r>
  <r>
    <n v="7"/>
    <s v="Qaida"/>
    <s v="26655 Potomac ct Center Line"/>
    <s v="Warren"/>
    <s v="MI"/>
    <n v="48015"/>
    <m/>
    <s v="Pervez Hussain"/>
    <s v="Friend"/>
    <m/>
    <n v="12482514775"/>
    <m/>
    <n v="25"/>
    <s v="Saif Uddin"/>
    <n v="15"/>
    <s v="Musleh Uddin"/>
    <n v="13135291946"/>
    <s v="Israt Uddin"/>
    <m/>
    <x v="1"/>
    <x v="5"/>
    <x v="3"/>
    <x v="1"/>
    <n v="7"/>
    <x v="1"/>
    <m/>
    <m/>
    <x v="0"/>
  </r>
  <r>
    <n v="10"/>
    <m/>
    <s v="8166 Potomac"/>
    <s v="Warren"/>
    <s v="MI"/>
    <n v="0"/>
    <m/>
    <s v="Md Bodrul Islam"/>
    <s v="Granf Father"/>
    <m/>
    <n v="13134557909"/>
    <m/>
    <n v="26"/>
    <s v="Sabria Hussain Lodi"/>
    <n v="16"/>
    <s v="Zakir Hussain Lodi"/>
    <n v="15864959971"/>
    <s v="Hamida Tahmina"/>
    <m/>
    <x v="0"/>
    <x v="1"/>
    <x v="2"/>
    <x v="1"/>
    <n v="10"/>
    <x v="1"/>
    <m/>
    <m/>
    <x v="0"/>
  </r>
  <r>
    <n v="8"/>
    <s v="Qaida"/>
    <s v="8166 Potomac"/>
    <s v="Warren"/>
    <s v="MI"/>
    <n v="0"/>
    <m/>
    <s v="Md Bodrul Islam"/>
    <s v="Granf Father"/>
    <m/>
    <n v="13134557909"/>
    <m/>
    <n v="27"/>
    <s v="Taaraz Hussain Lodi"/>
    <n v="16"/>
    <s v="Zakir Hussain Lodi"/>
    <n v="15864959971"/>
    <s v="Hamida Tahmina"/>
    <m/>
    <x v="1"/>
    <x v="2"/>
    <x v="5"/>
    <x v="1"/>
    <n v="8"/>
    <x v="1"/>
    <m/>
    <m/>
    <x v="0"/>
  </r>
  <r>
    <n v="6"/>
    <m/>
    <s v="8166 Potomac"/>
    <s v="Warren"/>
    <s v="MI"/>
    <n v="0"/>
    <m/>
    <s v="Md Bodrul Islam"/>
    <s v="Granf Father"/>
    <m/>
    <n v="13134557909"/>
    <m/>
    <n v="28"/>
    <s v="Sahiba Hussain Lodi"/>
    <n v="16"/>
    <s v="Zakir Hussain Lodi"/>
    <n v="15864959971"/>
    <s v="Hamida Tahmina"/>
    <m/>
    <x v="0"/>
    <x v="7"/>
    <x v="6"/>
    <x v="1"/>
    <n v="9"/>
    <x v="1"/>
    <m/>
    <m/>
    <x v="0"/>
  </r>
  <r>
    <n v="12"/>
    <n v="2"/>
    <s v="26612 Karen Ave"/>
    <s v="Warren"/>
    <s v="MI"/>
    <n v="48091"/>
    <m/>
    <m/>
    <m/>
    <m/>
    <m/>
    <m/>
    <n v="29"/>
    <s v="Tasdique Hamid Khan"/>
    <n v="17"/>
    <s v="Hamid Khan"/>
    <n v="13133126891"/>
    <s v="Fahmida Khanom"/>
    <m/>
    <x v="1"/>
    <x v="9"/>
    <x v="4"/>
    <x v="1"/>
    <n v="2"/>
    <x v="0"/>
    <n v="14"/>
    <m/>
    <x v="0"/>
  </r>
  <r>
    <n v="8"/>
    <n v="3"/>
    <s v="26612 Karen Ave"/>
    <s v="Warren"/>
    <s v="MI"/>
    <n v="48091"/>
    <m/>
    <m/>
    <m/>
    <m/>
    <m/>
    <m/>
    <n v="30"/>
    <s v="Tahiyat Hamid Khan"/>
    <n v="17"/>
    <s v="Hamid Khan"/>
    <n v="13133126891"/>
    <s v="Fahmida Khanom"/>
    <m/>
    <x v="0"/>
    <x v="4"/>
    <x v="4"/>
    <x v="1"/>
    <n v="14"/>
    <x v="1"/>
    <m/>
    <m/>
    <x v="0"/>
  </r>
  <r>
    <n v="6"/>
    <n v="2"/>
    <s v="26612 Karen Ave"/>
    <s v="Warren"/>
    <s v="MI"/>
    <n v="48091"/>
    <m/>
    <m/>
    <m/>
    <m/>
    <m/>
    <m/>
    <n v="31"/>
    <s v="Tawfique Hamid Khan"/>
    <n v="17"/>
    <s v="Hamid Khan"/>
    <n v="13133126891"/>
    <s v="Fahmida Khanom"/>
    <m/>
    <x v="1"/>
    <x v="5"/>
    <x v="2"/>
    <x v="1"/>
    <n v="13"/>
    <x v="0"/>
    <n v="15"/>
    <m/>
    <x v="0"/>
  </r>
  <r>
    <n v="15"/>
    <m/>
    <s v="33836 Orban Dr"/>
    <s v="Sterling Heights"/>
    <s v="MI"/>
    <n v="48310"/>
    <m/>
    <m/>
    <m/>
    <m/>
    <m/>
    <m/>
    <n v="32"/>
    <s v="Sadique Tawhid"/>
    <n v="18"/>
    <s v="Nazir Ahmed"/>
    <n v="15864956736"/>
    <s v="Amina Ahmed"/>
    <n v="15864893523"/>
    <x v="1"/>
    <x v="8"/>
    <x v="4"/>
    <x v="1"/>
    <n v="3"/>
    <x v="1"/>
    <m/>
    <m/>
    <x v="0"/>
  </r>
  <r>
    <n v="10"/>
    <m/>
    <s v="33836 Orban Dr"/>
    <s v="Sterling Heights"/>
    <s v="MI"/>
    <n v="48310"/>
    <m/>
    <m/>
    <m/>
    <m/>
    <m/>
    <m/>
    <n v="33"/>
    <s v="Fatima Ahmed"/>
    <n v="18"/>
    <s v="Nazir Ahmed"/>
    <n v="13139303202"/>
    <s v="Amina Ahmed"/>
    <m/>
    <x v="0"/>
    <x v="6"/>
    <x v="4"/>
    <x v="1"/>
    <n v="4"/>
    <x v="1"/>
    <m/>
    <m/>
    <x v="0"/>
  </r>
  <r>
    <n v="10"/>
    <n v="3"/>
    <s v="24233 Maseh Ave"/>
    <s v="Warren"/>
    <s v="MI"/>
    <n v="48091"/>
    <m/>
    <m/>
    <m/>
    <m/>
    <m/>
    <m/>
    <n v="34"/>
    <s v="Ameerah Alisha"/>
    <n v="19"/>
    <s v="Anisur Rahman"/>
    <n v="15864572462"/>
    <s v="Aynum Chowdhury"/>
    <m/>
    <x v="0"/>
    <x v="4"/>
    <x v="5"/>
    <x v="1"/>
    <n v="4"/>
    <x v="0"/>
    <n v="3"/>
    <m/>
    <x v="0"/>
  </r>
  <r>
    <n v="11"/>
    <m/>
    <s v="4075 Bart Ave"/>
    <s v="Warren"/>
    <s v="MI"/>
    <n v="48091"/>
    <m/>
    <s v="Tammanna"/>
    <m/>
    <m/>
    <m/>
    <m/>
    <n v="35"/>
    <s v="Zara Shah"/>
    <n v="20"/>
    <s v="Abu Farhaz"/>
    <n v="13133463143"/>
    <s v="Tammanna Khanom"/>
    <m/>
    <x v="0"/>
    <x v="1"/>
    <x v="1"/>
    <x v="1"/>
    <n v="13"/>
    <x v="1"/>
    <m/>
    <m/>
    <x v="0"/>
  </r>
  <r>
    <n v="9"/>
    <m/>
    <s v="4075 Bart Ave"/>
    <s v="Warren"/>
    <s v="MI"/>
    <n v="48091"/>
    <m/>
    <s v="Tammanna"/>
    <m/>
    <m/>
    <m/>
    <m/>
    <n v="36"/>
    <s v="Zaina Shah"/>
    <n v="20"/>
    <s v="Abu Farhaz"/>
    <n v="13133463143"/>
    <s v="Tammanna Khanom"/>
    <m/>
    <x v="0"/>
    <x v="2"/>
    <x v="5"/>
    <x v="1"/>
    <n v="13"/>
    <x v="1"/>
    <m/>
    <m/>
    <x v="0"/>
  </r>
  <r>
    <n v="9"/>
    <s v="Sifara"/>
    <s v="31658 Belleau Dr"/>
    <s v="Warren"/>
    <s v="MI"/>
    <n v="48092"/>
    <m/>
    <m/>
    <m/>
    <m/>
    <m/>
    <m/>
    <n v="37"/>
    <s v="Mihran Affan"/>
    <n v="21"/>
    <s v="Mohammed Kashem"/>
    <n v="15863035531"/>
    <s v="Tauhida Sultana"/>
    <m/>
    <x v="1"/>
    <x v="1"/>
    <x v="6"/>
    <x v="1"/>
    <n v="9"/>
    <x v="1"/>
    <m/>
    <m/>
    <x v="0"/>
  </r>
  <r>
    <n v="8"/>
    <m/>
    <s v="31658 Belleau Dr"/>
    <s v="Warren"/>
    <s v="MI"/>
    <n v="48092"/>
    <m/>
    <m/>
    <m/>
    <m/>
    <m/>
    <m/>
    <n v="38"/>
    <s v="Minhaj Arham"/>
    <n v="21"/>
    <s v="Mohammed Kashem"/>
    <n v="15863035531"/>
    <s v="Tauhida Sultana"/>
    <m/>
    <x v="1"/>
    <x v="4"/>
    <x v="2"/>
    <x v="1"/>
    <n v="7"/>
    <x v="1"/>
    <m/>
    <m/>
    <x v="0"/>
  </r>
  <r>
    <n v="6"/>
    <m/>
    <s v="31658 Belleau Dr"/>
    <s v="Warren"/>
    <s v="MI"/>
    <n v="48092"/>
    <m/>
    <m/>
    <m/>
    <m/>
    <m/>
    <m/>
    <n v="39"/>
    <s v="Rayhan Kashem"/>
    <n v="21"/>
    <s v="Mohammed Kashem"/>
    <n v="15863035531"/>
    <s v="Tauhida Sultana"/>
    <m/>
    <x v="1"/>
    <x v="3"/>
    <x v="3"/>
    <x v="1"/>
    <n v="6"/>
    <x v="1"/>
    <m/>
    <m/>
    <x v="0"/>
  </r>
  <r>
    <n v="6"/>
    <m/>
    <s v="4879 Lenomar et"/>
    <s v="Sterling Heights"/>
    <s v="MI"/>
    <n v="48310"/>
    <m/>
    <s v="Meherun Rahman"/>
    <s v="Mother"/>
    <m/>
    <n v="15865226444"/>
    <m/>
    <n v="40"/>
    <s v="Nushfa Rahman"/>
    <n v="22"/>
    <s v="Niplu Rahman"/>
    <n v="13136418897"/>
    <s v="Meherun Rahman"/>
    <m/>
    <x v="0"/>
    <x v="5"/>
    <x v="3"/>
    <x v="1"/>
    <n v="18"/>
    <x v="1"/>
    <m/>
    <m/>
    <x v="0"/>
  </r>
  <r>
    <n v="8"/>
    <m/>
    <s v="4880 Lenomar et"/>
    <s v="Sterling Heights"/>
    <s v="MI"/>
    <n v="48310"/>
    <m/>
    <s v="Nipiu Rahman"/>
    <s v="Uncle"/>
    <m/>
    <n v="13136418897"/>
    <m/>
    <n v="41"/>
    <s v="Ibadul Islam (Mahir)"/>
    <n v="23"/>
    <s v="Md Obayedul Islam"/>
    <n v="13133275571"/>
    <s v="Priti Rahman"/>
    <m/>
    <x v="1"/>
    <x v="7"/>
    <x v="3"/>
    <x v="1"/>
    <n v="1"/>
    <x v="1"/>
    <m/>
    <m/>
    <x v="0"/>
  </r>
  <r>
    <n v="5"/>
    <m/>
    <s v="3131 Potomac Ave"/>
    <s v="Warren"/>
    <s v="MI"/>
    <n v="48091"/>
    <m/>
    <s v="Sriti Rahman"/>
    <s v="Mother"/>
    <m/>
    <m/>
    <m/>
    <n v="42"/>
    <s v="Sardar Muhammad Siyam"/>
    <n v="24"/>
    <s v="MD Saifur Rahman Shamim"/>
    <n v="13139502575"/>
    <s v="Sriti Rahman"/>
    <m/>
    <x v="1"/>
    <x v="3"/>
    <x v="0"/>
    <x v="0"/>
    <m/>
    <x v="1"/>
    <m/>
    <m/>
    <x v="1"/>
  </r>
  <r>
    <n v="13"/>
    <m/>
    <s v="28056 Walker Ave"/>
    <s v="Warren"/>
    <s v="MI"/>
    <n v="48092"/>
    <m/>
    <s v="Syed Zakaria"/>
    <s v="Father"/>
    <m/>
    <m/>
    <m/>
    <n v="43"/>
    <s v="Syeda Samiha"/>
    <n v="25"/>
    <s v="Syed Zakaria"/>
    <n v="13133847850"/>
    <s v="Rajna Begum"/>
    <m/>
    <x v="0"/>
    <x v="10"/>
    <x v="4"/>
    <x v="1"/>
    <n v="13"/>
    <x v="1"/>
    <m/>
    <m/>
    <x v="0"/>
  </r>
  <r>
    <n v="12"/>
    <m/>
    <s v="28056 Walker Ave"/>
    <s v="Warren"/>
    <s v="MI"/>
    <n v="48092"/>
    <m/>
    <s v="Syed Zakaria"/>
    <s v="Father"/>
    <m/>
    <m/>
    <m/>
    <n v="44"/>
    <s v="Syeda Fariha"/>
    <n v="25"/>
    <s v="Syed Zakaria"/>
    <n v="13133847850"/>
    <s v="Rajna Begum"/>
    <m/>
    <x v="0"/>
    <x v="9"/>
    <x v="1"/>
    <x v="1"/>
    <n v="12"/>
    <x v="1"/>
    <m/>
    <m/>
    <x v="0"/>
  </r>
  <r>
    <n v="14"/>
    <m/>
    <s v="27129 Lorraine Ave"/>
    <s v="Warren"/>
    <s v="MI"/>
    <n v="48093"/>
    <m/>
    <s v="Hisham Haque"/>
    <s v="Sister"/>
    <m/>
    <n v="15863285514"/>
    <m/>
    <n v="45"/>
    <s v="Hamim Haque"/>
    <n v="26"/>
    <s v="Mohammed Hoque"/>
    <n v="13134146160"/>
    <s v="Kohinoor Haque"/>
    <n v="15863815864"/>
    <x v="1"/>
    <x v="8"/>
    <x v="4"/>
    <x v="1"/>
    <n v="4"/>
    <x v="1"/>
    <m/>
    <m/>
    <x v="0"/>
  </r>
  <r>
    <n v="9"/>
    <s v="Quran"/>
    <s v="27129 Lorraine Ave"/>
    <s v="Warren"/>
    <s v="MI"/>
    <n v="48093"/>
    <m/>
    <s v="Hisham Haque"/>
    <s v="Sister"/>
    <m/>
    <n v="15863285514"/>
    <m/>
    <n v="46"/>
    <s v="Heyam Haque"/>
    <n v="26"/>
    <s v="Mohammed Hoque"/>
    <n v="13134146160"/>
    <s v="Kohinoor Haque"/>
    <n v="15863815864"/>
    <x v="0"/>
    <x v="4"/>
    <x v="1"/>
    <x v="1"/>
    <n v="5"/>
    <x v="1"/>
    <m/>
    <m/>
    <x v="0"/>
  </r>
  <r>
    <n v="7"/>
    <s v="Quran"/>
    <s v="24068 Virginia Dr"/>
    <s v="Warren"/>
    <s v="MI"/>
    <n v="48091"/>
    <m/>
    <s v="Neaz Shamsuddin"/>
    <s v="Father`"/>
    <m/>
    <m/>
    <m/>
    <n v="47"/>
    <s v="Faiza Shamsuddin (check RG 40)"/>
    <n v="27"/>
    <s v="Neaz Shamsuddin"/>
    <n v="16464794711"/>
    <s v="Sonia Begum"/>
    <m/>
    <x v="0"/>
    <x v="7"/>
    <x v="0"/>
    <x v="0"/>
    <m/>
    <x v="1"/>
    <m/>
    <m/>
    <x v="1"/>
  </r>
  <r>
    <n v="8"/>
    <m/>
    <s v="27432 Grobbel Dr"/>
    <s v="Warren"/>
    <s v="MI"/>
    <n v="48092"/>
    <m/>
    <m/>
    <s v="Uncle"/>
    <m/>
    <n v="12484347251"/>
    <m/>
    <n v="48"/>
    <s v="Naba Islam"/>
    <n v="28"/>
    <s v="Md Shehabul Islam"/>
    <n v="13137822416"/>
    <s v="Marzana Akther"/>
    <m/>
    <x v="0"/>
    <x v="7"/>
    <x v="0"/>
    <x v="0"/>
    <m/>
    <x v="1"/>
    <m/>
    <m/>
    <x v="1"/>
  </r>
  <r>
    <n v="16"/>
    <m/>
    <s v="44257 LA-Domain"/>
    <s v="Sterling Heights"/>
    <s v="MI"/>
    <n v="48314"/>
    <m/>
    <m/>
    <m/>
    <m/>
    <m/>
    <m/>
    <n v="49"/>
    <s v="Aniq Alam"/>
    <n v="29"/>
    <s v="Mohammad Alam"/>
    <n v="13137126612"/>
    <s v="Shilpi Miah"/>
    <m/>
    <x v="1"/>
    <x v="11"/>
    <x v="0"/>
    <x v="0"/>
    <m/>
    <x v="1"/>
    <m/>
    <m/>
    <x v="1"/>
  </r>
  <r>
    <n v="8"/>
    <m/>
    <s v="44257 LA-Domain"/>
    <s v="Sterling Heights"/>
    <s v="MI"/>
    <n v="48314"/>
    <m/>
    <m/>
    <m/>
    <m/>
    <m/>
    <m/>
    <n v="50"/>
    <s v="Ayaat Alam"/>
    <n v="29"/>
    <s v="Mohammad Alam"/>
    <n v="13137126612"/>
    <s v="Shilpi Miah"/>
    <m/>
    <x v="0"/>
    <x v="2"/>
    <x v="0"/>
    <x v="0"/>
    <m/>
    <x v="1"/>
    <m/>
    <m/>
    <x v="1"/>
  </r>
  <r>
    <n v="7"/>
    <m/>
    <s v="30220 Dell Lane"/>
    <s v="Warren"/>
    <s v="MI"/>
    <n v="48092"/>
    <m/>
    <s v="Oasiur Hagel"/>
    <s v="Uncle"/>
    <n v="13139037808"/>
    <m/>
    <m/>
    <n v="51"/>
    <s v="Zahra Syeda Amatullah"/>
    <n v="30"/>
    <s v="Syed Abdullah Hossain Tipu"/>
    <n v="19293930004"/>
    <s v="Mahfuza Sultana Koly"/>
    <m/>
    <x v="0"/>
    <x v="5"/>
    <x v="2"/>
    <x v="0"/>
    <m/>
    <x v="1"/>
    <m/>
    <m/>
    <x v="1"/>
  </r>
  <r>
    <n v="7"/>
    <m/>
    <s v="29144 Ohmer Dr"/>
    <s v="Warren"/>
    <s v="MI"/>
    <n v="48092"/>
    <m/>
    <s v="Mahbubur Rahman"/>
    <s v="Uncle"/>
    <m/>
    <n v="13134557490"/>
    <m/>
    <n v="52"/>
    <s v="Mahira Mahreen"/>
    <n v="31"/>
    <s v="Rakib Husain"/>
    <n v="13133276388"/>
    <s v="Bilkis Begum"/>
    <m/>
    <x v="0"/>
    <x v="7"/>
    <x v="2"/>
    <x v="1"/>
    <n v="5"/>
    <x v="1"/>
    <m/>
    <m/>
    <x v="0"/>
  </r>
  <r>
    <n v="9"/>
    <s v="Sifara"/>
    <s v="29144 Ohmer Dr"/>
    <s v="Warren"/>
    <s v="MI"/>
    <n v="48092"/>
    <m/>
    <s v="Mahbubur Rahman"/>
    <s v="Uncle"/>
    <m/>
    <n v="13134557490"/>
    <m/>
    <n v="53"/>
    <s v="Irfan Rahim"/>
    <n v="31"/>
    <s v="Rakib Husain"/>
    <n v="13133276388"/>
    <s v="Bilkis Begum"/>
    <m/>
    <x v="1"/>
    <x v="7"/>
    <x v="6"/>
    <x v="1"/>
    <n v="6"/>
    <x v="1"/>
    <m/>
    <m/>
    <x v="0"/>
  </r>
  <r>
    <n v="6"/>
    <m/>
    <s v="29144 Ohmer Dr"/>
    <s v="Warren"/>
    <s v="MI"/>
    <n v="48092"/>
    <m/>
    <s v="Mahbubur Rahman"/>
    <s v="Uncle"/>
    <m/>
    <n v="13134557490"/>
    <m/>
    <n v="54"/>
    <s v="Ahmed Ibrahim"/>
    <n v="31"/>
    <s v="Rakib Husain"/>
    <n v="13133276388"/>
    <s v="Bilkis Begum"/>
    <n v="3135046388"/>
    <x v="1"/>
    <x v="3"/>
    <x v="2"/>
    <x v="1"/>
    <n v="4"/>
    <x v="1"/>
    <m/>
    <m/>
    <x v="0"/>
  </r>
  <r>
    <n v="7"/>
    <s v="Sifara"/>
    <s v="24733 Beierman Ave"/>
    <s v="Warren"/>
    <s v="MI"/>
    <n v="48091"/>
    <m/>
    <s v="Shamsi Ahmed"/>
    <s v="Sister"/>
    <m/>
    <n v="13136509900"/>
    <m/>
    <n v="55"/>
    <s v="Rayan Rahim Ahmed"/>
    <n v="32"/>
    <s v="Faruque Ahmed"/>
    <n v="13137757229"/>
    <s v="Sabina Akther"/>
    <m/>
    <x v="1"/>
    <x v="7"/>
    <x v="6"/>
    <x v="1"/>
    <n v="5"/>
    <x v="1"/>
    <m/>
    <m/>
    <x v="0"/>
  </r>
  <r>
    <n v="5"/>
    <s v="Qaida"/>
    <s v="24733 Beierman Ave"/>
    <s v="Warren"/>
    <s v="MI"/>
    <n v="48091"/>
    <m/>
    <s v="Shamsi Ahmed"/>
    <s v="Sister"/>
    <m/>
    <n v="13136509900"/>
    <m/>
    <n v="56"/>
    <s v="Omar Rahim Ahmed"/>
    <n v="32"/>
    <s v="Faruque Ahmed"/>
    <n v="13137757229"/>
    <s v="Sabina Akther"/>
    <m/>
    <x v="1"/>
    <x v="5"/>
    <x v="5"/>
    <x v="1"/>
    <n v="1"/>
    <x v="1"/>
    <m/>
    <m/>
    <x v="0"/>
  </r>
  <r>
    <n v="8"/>
    <m/>
    <s v="27357 Newport Dr"/>
    <s v="Warren"/>
    <s v="MI"/>
    <n v="48088"/>
    <m/>
    <s v="Tamanna Rahman"/>
    <s v="Mother"/>
    <n v="19733564233"/>
    <m/>
    <m/>
    <n v="57"/>
    <s v="Istiaq I Ahmed"/>
    <n v="33"/>
    <s v="Nurul I Ahmed"/>
    <n v="19733564233"/>
    <s v="Tamanna Rahman"/>
    <m/>
    <x v="1"/>
    <x v="2"/>
    <x v="0"/>
    <x v="0"/>
    <m/>
    <x v="1"/>
    <m/>
    <m/>
    <x v="1"/>
  </r>
  <r>
    <n v="7"/>
    <m/>
    <s v="27357 Newport Dr"/>
    <s v="Warren"/>
    <s v="MI"/>
    <n v="48088"/>
    <m/>
    <s v="Tamanna Rahman"/>
    <s v="Mother"/>
    <n v="19733564233"/>
    <m/>
    <m/>
    <n v="58"/>
    <s v="Ishraq I Ahmed"/>
    <n v="33"/>
    <s v="Nurul I Ahmed"/>
    <n v="19733564233"/>
    <s v="Tamanna Rahman"/>
    <m/>
    <x v="1"/>
    <x v="7"/>
    <x v="0"/>
    <x v="0"/>
    <m/>
    <x v="1"/>
    <m/>
    <m/>
    <x v="1"/>
  </r>
  <r>
    <n v="6"/>
    <s v="Qaida"/>
    <s v="4529 Fenwick Dr"/>
    <s v="Warren"/>
    <s v="MI"/>
    <n v="48092"/>
    <m/>
    <s v="Muhibur Alam"/>
    <s v="Father"/>
    <m/>
    <m/>
    <m/>
    <n v="59"/>
    <s v="Yahya Rahman Ayan"/>
    <n v="34"/>
    <s v="Muhibur Alam"/>
    <n v="15869430052"/>
    <s v="Hazera Rahman"/>
    <m/>
    <x v="1"/>
    <x v="3"/>
    <x v="6"/>
    <x v="1"/>
    <n v="12"/>
    <x v="1"/>
    <m/>
    <m/>
    <x v="0"/>
  </r>
  <r>
    <n v="8"/>
    <n v="2"/>
    <s v="3726 Norbert Ave"/>
    <s v="Warren"/>
    <s v="MI"/>
    <n v="48091"/>
    <m/>
    <s v="Usman Ahmed"/>
    <s v="Father"/>
    <n v="16314649663"/>
    <m/>
    <m/>
    <n v="60"/>
    <s v="Maaz Usman"/>
    <n v="35"/>
    <s v="Usman Ahmed"/>
    <n v="6314649663"/>
    <s v="Khadija Kousar"/>
    <n v="13136019890"/>
    <x v="1"/>
    <x v="7"/>
    <x v="6"/>
    <x v="1"/>
    <n v="7"/>
    <x v="0"/>
    <n v="9"/>
    <m/>
    <x v="0"/>
  </r>
  <r>
    <n v="6"/>
    <n v="1"/>
    <s v="3726 Norbert Ave"/>
    <s v="Warren"/>
    <s v="MI"/>
    <n v="48091"/>
    <m/>
    <s v="Usman Ahmed"/>
    <s v="Father"/>
    <n v="16314649663"/>
    <m/>
    <m/>
    <n v="61"/>
    <s v="Moeez Usman"/>
    <n v="35"/>
    <s v="Usman Ahmed"/>
    <n v="13136019890"/>
    <s v="Khadija Kousar"/>
    <m/>
    <x v="1"/>
    <x v="3"/>
    <x v="3"/>
    <x v="1"/>
    <n v="3"/>
    <x v="0"/>
    <n v="5"/>
    <m/>
    <x v="0"/>
  </r>
  <r>
    <n v="12"/>
    <m/>
    <s v="20836 Le Fever Ave"/>
    <s v="Warren"/>
    <s v="MI"/>
    <n v="48091"/>
    <m/>
    <s v="Jamal Uddin"/>
    <s v="Uncle"/>
    <m/>
    <n v="18188264280"/>
    <m/>
    <n v="62"/>
    <s v="Sameeha Reza"/>
    <n v="36"/>
    <s v="Mohammad Sharij Reza"/>
    <n v="18183104975"/>
    <s v="Rikhta Parvin"/>
    <m/>
    <x v="0"/>
    <x v="6"/>
    <x v="2"/>
    <x v="1"/>
    <n v="13"/>
    <x v="1"/>
    <m/>
    <m/>
    <x v="0"/>
  </r>
  <r>
    <n v="6"/>
    <m/>
    <s v="2630 Antonia Ln"/>
    <s v="Warren"/>
    <s v="MI"/>
    <n v="48091"/>
    <m/>
    <m/>
    <m/>
    <n v="15862809634"/>
    <m/>
    <m/>
    <n v="63"/>
    <s v="Faiza Jannat Anila"/>
    <n v="37"/>
    <s v="Mohammed Gias Uddin"/>
    <n v="15862161918"/>
    <s v="Nusrat K Bhuiyan"/>
    <m/>
    <x v="0"/>
    <x v="3"/>
    <x v="5"/>
    <x v="1"/>
    <n v="6"/>
    <x v="1"/>
    <m/>
    <m/>
    <x v="0"/>
  </r>
  <r>
    <n v="8"/>
    <m/>
    <s v="26052 Thomas St"/>
    <s v="Warren"/>
    <s v="MI"/>
    <n v="48091"/>
    <m/>
    <m/>
    <m/>
    <m/>
    <m/>
    <m/>
    <n v="64"/>
    <s v="Simrah Salim"/>
    <n v="38"/>
    <s v="Salim Ahmed"/>
    <n v="19177698123"/>
    <s v="Shamima Akthar"/>
    <n v="17186501535"/>
    <x v="0"/>
    <x v="2"/>
    <x v="5"/>
    <x v="0"/>
    <m/>
    <x v="1"/>
    <m/>
    <m/>
    <x v="1"/>
  </r>
  <r>
    <n v="5"/>
    <m/>
    <s v="26052 Thomas St"/>
    <s v="Warren"/>
    <s v="MI"/>
    <n v="48091"/>
    <m/>
    <m/>
    <m/>
    <m/>
    <m/>
    <m/>
    <n v="65"/>
    <s v="Sabirah Ahmed"/>
    <n v="38"/>
    <s v="Salim Ahmed"/>
    <n v="19177698123"/>
    <s v="Shamima Akthar"/>
    <n v="17186501535"/>
    <x v="0"/>
    <x v="3"/>
    <x v="3"/>
    <x v="1"/>
    <n v="10"/>
    <x v="1"/>
    <m/>
    <m/>
    <x v="0"/>
  </r>
  <r>
    <n v="12"/>
    <m/>
    <s v="29548 Bonnie Dr"/>
    <s v="Warren"/>
    <s v="MI"/>
    <n v="48093"/>
    <m/>
    <m/>
    <m/>
    <m/>
    <m/>
    <m/>
    <n v="66"/>
    <s v="Noushin Jannat Nuha"/>
    <n v="39"/>
    <s v="Mohammed Touhidur Rahman"/>
    <n v="13132814155"/>
    <s v="Rebeka Sultana"/>
    <n v="15615740476"/>
    <x v="0"/>
    <x v="9"/>
    <x v="4"/>
    <x v="1"/>
    <n v="9"/>
    <x v="1"/>
    <m/>
    <m/>
    <x v="0"/>
  </r>
  <r>
    <n v="8"/>
    <m/>
    <s v="29548 Bonnie Dr"/>
    <s v="Warren"/>
    <s v="MI"/>
    <n v="48093"/>
    <m/>
    <m/>
    <m/>
    <m/>
    <m/>
    <m/>
    <n v="67"/>
    <s v="Nazifa Jannat"/>
    <n v="39"/>
    <s v="Mohammed Touhidur Rahman"/>
    <n v="13132814155"/>
    <s v="Rebeka Sultana"/>
    <n v="15615740476"/>
    <x v="0"/>
    <x v="7"/>
    <x v="2"/>
    <x v="1"/>
    <n v="7"/>
    <x v="1"/>
    <m/>
    <m/>
    <x v="0"/>
  </r>
  <r>
    <n v="5"/>
    <m/>
    <s v="29548 Bonnie Dr"/>
    <s v="Warren"/>
    <s v="MI"/>
    <n v="48093"/>
    <m/>
    <m/>
    <m/>
    <m/>
    <m/>
    <m/>
    <n v="68"/>
    <s v="Amira Jannat"/>
    <n v="39"/>
    <s v="Mohammed Touhidur Rahman"/>
    <n v="13132814155"/>
    <s v="Rebeka Sultana"/>
    <n v="15615740476"/>
    <x v="0"/>
    <x v="3"/>
    <x v="3"/>
    <x v="1"/>
    <n v="4"/>
    <x v="1"/>
    <m/>
    <m/>
    <x v="0"/>
  </r>
  <r>
    <n v="7"/>
    <n v="3"/>
    <s v="2406 Virginia Dr"/>
    <s v="Warren"/>
    <s v="MI"/>
    <n v="48091"/>
    <s v="neazsn@gmail.com"/>
    <m/>
    <m/>
    <m/>
    <m/>
    <m/>
    <n v="69"/>
    <s v="Faiza Shamsuddin"/>
    <n v="40"/>
    <s v="Neaz Shamsuddin"/>
    <n v="16464794711"/>
    <m/>
    <m/>
    <x v="0"/>
    <x v="7"/>
    <x v="2"/>
    <x v="1"/>
    <n v="2"/>
    <x v="0"/>
    <n v="5"/>
    <m/>
    <x v="0"/>
  </r>
  <r>
    <n v="7"/>
    <n v="2"/>
    <s v="30510 Grvenburg Dr"/>
    <s v="Warren"/>
    <s v="MI"/>
    <n v="48092"/>
    <s v="israthjj@gmail.com"/>
    <s v="Mumena Taiyeva"/>
    <s v="Sister"/>
    <n v="12483150164"/>
    <n v="12483150164"/>
    <m/>
    <n v="70"/>
    <s v="Inayatur Tanvir"/>
    <n v="41"/>
    <s v="Hamidur Rahman"/>
    <n v="19176034391"/>
    <s v="Israth Jafrin"/>
    <n v="13133033460"/>
    <x v="1"/>
    <x v="2"/>
    <x v="0"/>
    <x v="0"/>
    <m/>
    <x v="1"/>
    <m/>
    <m/>
    <x v="1"/>
  </r>
  <r>
    <n v="13"/>
    <m/>
    <s v="3171 Capitol Ave"/>
    <s v="Warren"/>
    <s v="MI"/>
    <n v="48091"/>
    <m/>
    <m/>
    <m/>
    <m/>
    <m/>
    <m/>
    <n v="71"/>
    <s v="Mahima Khanom"/>
    <n v="42"/>
    <s v="Hiron Khan"/>
    <n v="13134551008"/>
    <s v="Nargis Begum"/>
    <n v="15864576704"/>
    <x v="0"/>
    <x v="10"/>
    <x v="1"/>
    <x v="1"/>
    <n v="7"/>
    <x v="1"/>
    <m/>
    <m/>
    <x v="0"/>
  </r>
  <r>
    <n v="10"/>
    <s v="Quran"/>
    <s v="3171 Capitol Ave"/>
    <s v="Warren"/>
    <s v="MI"/>
    <n v="48091"/>
    <m/>
    <m/>
    <m/>
    <m/>
    <m/>
    <m/>
    <n v="72"/>
    <s v="Mohammad Ishmael Khan"/>
    <n v="42"/>
    <s v="Hiron Khan"/>
    <n v="13134551008"/>
    <s v="Nargis Begum"/>
    <n v="15864576704"/>
    <x v="1"/>
    <x v="4"/>
    <x v="6"/>
    <x v="1"/>
    <n v="10"/>
    <x v="1"/>
    <m/>
    <m/>
    <x v="0"/>
  </r>
  <r>
    <n v="5"/>
    <m/>
    <s v="2103 Rome Ave"/>
    <s v="Warren"/>
    <s v="MI"/>
    <n v="48091"/>
    <s v="afrinmim3088@gmail.com"/>
    <m/>
    <m/>
    <m/>
    <m/>
    <m/>
    <n v="73"/>
    <s v="Arfaan Bin Abdullah"/>
    <n v="43"/>
    <s v="Abdullah Al Fahad Bhuiyan"/>
    <n v="14074741925"/>
    <s v="Afrin Binta Hoque"/>
    <n v="14074741926"/>
    <x v="1"/>
    <x v="3"/>
    <x v="0"/>
    <x v="0"/>
    <m/>
    <x v="1"/>
    <m/>
    <m/>
    <x v="1"/>
  </r>
  <r>
    <n v="8"/>
    <m/>
    <s v="24220 Joanne Ave"/>
    <s v="Warren"/>
    <s v="MI"/>
    <n v="48091"/>
    <s v="minhaj2040@hotmail.com"/>
    <m/>
    <m/>
    <m/>
    <m/>
    <m/>
    <n v="74"/>
    <s v="Israar Ahmed"/>
    <n v="44"/>
    <s v="Minhaj Ahmed"/>
    <n v="13134547974"/>
    <m/>
    <m/>
    <x v="1"/>
    <x v="7"/>
    <x v="2"/>
    <x v="1"/>
    <n v="5"/>
    <x v="1"/>
    <m/>
    <m/>
    <x v="0"/>
  </r>
  <r>
    <n v="11"/>
    <m/>
    <s v="8145 Sunburst"/>
    <s v="Warren"/>
    <s v="MI"/>
    <n v="48015"/>
    <m/>
    <m/>
    <s v="Aunty"/>
    <n v="19294344782"/>
    <m/>
    <m/>
    <n v="75"/>
    <s v="Samith Uddin"/>
    <n v="45"/>
    <s v="Shamim Uddin"/>
    <m/>
    <s v="Parben Begom"/>
    <m/>
    <x v="1"/>
    <x v="6"/>
    <x v="0"/>
    <x v="0"/>
    <m/>
    <x v="1"/>
    <m/>
    <m/>
    <x v="1"/>
  </r>
  <r>
    <n v="7"/>
    <s v="Sifara"/>
    <s v="30510 Groenberg Dr"/>
    <s v="Warren"/>
    <s v="MI"/>
    <n v="48092"/>
    <s v="israthjj@gmail.com"/>
    <m/>
    <m/>
    <m/>
    <m/>
    <m/>
    <n v="76"/>
    <s v="Inayatur Tanvir, check RG 41"/>
    <n v="46"/>
    <s v="Hamidur Rahman"/>
    <n v="19176034391"/>
    <s v="Israth Jafrin"/>
    <n v="13133033460"/>
    <x v="1"/>
    <x v="2"/>
    <x v="0"/>
    <x v="0"/>
    <m/>
    <x v="1"/>
    <m/>
    <m/>
    <x v="1"/>
  </r>
  <r>
    <n v="14"/>
    <m/>
    <s v="24926 Hill Ave"/>
    <s v="Warren"/>
    <s v="MI"/>
    <n v="48091"/>
    <m/>
    <m/>
    <m/>
    <m/>
    <m/>
    <m/>
    <n v="77"/>
    <s v="Samyn Haque"/>
    <n v="47"/>
    <s v="Mohammad Haque"/>
    <n v="15864574646"/>
    <s v="Sadia Begum"/>
    <n v="13137079953"/>
    <x v="1"/>
    <x v="8"/>
    <x v="0"/>
    <x v="0"/>
    <m/>
    <x v="1"/>
    <m/>
    <m/>
    <x v="1"/>
  </r>
  <r>
    <n v="10"/>
    <m/>
    <s v="24926 Hill Ave"/>
    <s v="Warren"/>
    <s v="MI"/>
    <n v="48091"/>
    <m/>
    <m/>
    <m/>
    <m/>
    <m/>
    <m/>
    <n v="78"/>
    <s v="Tayaf Haque"/>
    <n v="47"/>
    <s v="Mohammad Haque"/>
    <n v="15864574646"/>
    <s v="Sadia Begum"/>
    <n v="13137079953"/>
    <x v="1"/>
    <x v="6"/>
    <x v="0"/>
    <x v="0"/>
    <m/>
    <x v="1"/>
    <m/>
    <m/>
    <x v="1"/>
  </r>
  <r>
    <n v="9"/>
    <m/>
    <s v="24926 Hill Ave"/>
    <s v="Warren"/>
    <s v="MI"/>
    <n v="48091"/>
    <m/>
    <m/>
    <m/>
    <m/>
    <m/>
    <m/>
    <n v="79"/>
    <s v="Sidrat Haque"/>
    <n v="47"/>
    <s v="Mohammad Haque"/>
    <n v="15864574646"/>
    <s v="Sadia Begum"/>
    <n v="13137079953"/>
    <x v="1"/>
    <x v="4"/>
    <x v="0"/>
    <x v="0"/>
    <m/>
    <x v="1"/>
    <m/>
    <m/>
    <x v="1"/>
  </r>
  <r>
    <n v="8"/>
    <m/>
    <s v="24926 Hill Ave"/>
    <s v="Warren"/>
    <s v="MI"/>
    <n v="48091"/>
    <m/>
    <m/>
    <m/>
    <m/>
    <m/>
    <m/>
    <n v="80"/>
    <s v="Safawat Haque"/>
    <n v="47"/>
    <s v="Mohammad Haque"/>
    <n v="15864574646"/>
    <s v="Sadia Begum"/>
    <n v="13137079953"/>
    <x v="1"/>
    <x v="2"/>
    <x v="0"/>
    <x v="0"/>
    <m/>
    <x v="1"/>
    <m/>
    <m/>
    <x v="1"/>
  </r>
  <r>
    <n v="8"/>
    <n v="2"/>
    <s v="2389 Cardigan Ct (North)"/>
    <s v="Warren"/>
    <s v="MI"/>
    <n v="48081"/>
    <m/>
    <m/>
    <m/>
    <m/>
    <m/>
    <m/>
    <n v="81"/>
    <s v="Muaz Mohammad Karim"/>
    <n v="48"/>
    <s v="Mohammad Rezaul Karim"/>
    <n v="15868732226"/>
    <s v="Shelina Akter"/>
    <m/>
    <x v="1"/>
    <x v="7"/>
    <x v="2"/>
    <x v="1"/>
    <n v="9"/>
    <x v="1"/>
    <m/>
    <m/>
    <x v="0"/>
  </r>
  <r>
    <n v="6"/>
    <s v="Qaida"/>
    <s v="29138 Apoloina Dr"/>
    <s v="Warren"/>
    <s v="MI"/>
    <n v="48092"/>
    <m/>
    <m/>
    <m/>
    <m/>
    <m/>
    <m/>
    <n v="82"/>
    <s v="Mahdi Hakim"/>
    <n v="49"/>
    <s v="Abdul Hakim"/>
    <n v="13134556417"/>
    <s v="Runa Begum"/>
    <n v="15864577859"/>
    <x v="1"/>
    <x v="3"/>
    <x v="3"/>
    <x v="1"/>
    <n v="16"/>
    <x v="1"/>
    <m/>
    <m/>
    <x v="0"/>
  </r>
  <r>
    <n v="10"/>
    <s v="Qaida"/>
    <s v="29138 Apoloina Dr"/>
    <s v="Warren"/>
    <s v="MI"/>
    <n v="48092"/>
    <m/>
    <m/>
    <m/>
    <m/>
    <m/>
    <m/>
    <n v="83"/>
    <s v="Marowa Hakim"/>
    <n v="49"/>
    <s v="Abdul Hakim"/>
    <n v="13134556417"/>
    <s v="Runa Begum"/>
    <n v="15864577859"/>
    <x v="0"/>
    <x v="1"/>
    <x v="5"/>
    <x v="1"/>
    <n v="16"/>
    <x v="1"/>
    <m/>
    <m/>
    <x v="0"/>
  </r>
  <r>
    <n v="10"/>
    <m/>
    <s v="3518 Esch Dr"/>
    <s v="Warren"/>
    <s v="MI"/>
    <n v="48091"/>
    <m/>
    <m/>
    <m/>
    <m/>
    <m/>
    <m/>
    <n v="84"/>
    <s v="Omar Zaman"/>
    <n v="50"/>
    <s v="Opu Zaman"/>
    <n v="13138985118"/>
    <s v="Khaleda Akhter"/>
    <n v="15868225961"/>
    <x v="1"/>
    <x v="1"/>
    <x v="4"/>
    <x v="1"/>
    <n v="5"/>
    <x v="1"/>
    <m/>
    <m/>
    <x v="0"/>
  </r>
  <r>
    <n v="5"/>
    <m/>
    <s v="3518 Esch Dr"/>
    <s v="Warren"/>
    <s v="MI"/>
    <n v="48091"/>
    <m/>
    <m/>
    <m/>
    <m/>
    <m/>
    <m/>
    <n v="85"/>
    <s v="Zara Zaman"/>
    <n v="50"/>
    <s v="Opu Zaman"/>
    <n v="13138985118"/>
    <s v="Khaleda Akhter"/>
    <n v="15868225961"/>
    <x v="0"/>
    <x v="5"/>
    <x v="5"/>
    <x v="1"/>
    <n v="14"/>
    <x v="1"/>
    <m/>
    <m/>
    <x v="0"/>
  </r>
  <r>
    <n v="5"/>
    <m/>
    <s v="26733 Warner Ave"/>
    <s v="Warren"/>
    <s v="MI"/>
    <n v="48091"/>
    <m/>
    <s v="Juber Ahmed"/>
    <s v="Uncle"/>
    <n v="15863563586"/>
    <n v="15863353068"/>
    <m/>
    <n v="86"/>
    <s v="Rahma Kibria"/>
    <n v="51"/>
    <s v="Hasan Kibria"/>
    <n v="15863394017"/>
    <s v="Liza Begum"/>
    <n v="15863394017"/>
    <x v="0"/>
    <x v="3"/>
    <x v="0"/>
    <x v="0"/>
    <m/>
    <x v="1"/>
    <m/>
    <m/>
    <x v="1"/>
  </r>
  <r>
    <d v="2017-05-26T00:00:00"/>
    <m/>
    <s v="11032 Lillian Ave"/>
    <s v="Warren"/>
    <s v="MI"/>
    <n v="48089"/>
    <m/>
    <s v="Sayema Khatun"/>
    <s v="Aunty"/>
    <m/>
    <n v="13139999345"/>
    <m/>
    <n v="87"/>
    <s v="Nawaz Chowdhury"/>
    <n v="52"/>
    <s v="Jahir Hussain Chowdhury"/>
    <n v="3137075251"/>
    <s v="Shamira Aktar Chowdhury"/>
    <n v="3479937949"/>
    <x v="1"/>
    <x v="7"/>
    <x v="0"/>
    <x v="0"/>
    <m/>
    <x v="1"/>
    <m/>
    <m/>
    <x v="1"/>
  </r>
  <r>
    <n v="8"/>
    <s v="Qaida"/>
    <s v="27763 Haverhill Dr"/>
    <s v="Warren"/>
    <s v="MI"/>
    <n v="48092"/>
    <m/>
    <m/>
    <m/>
    <m/>
    <m/>
    <m/>
    <n v="88"/>
    <s v="Ehaan Hussain"/>
    <n v="53"/>
    <s v="Kamal Hussain"/>
    <n v="13133126688"/>
    <s v="Salma Hussain"/>
    <m/>
    <x v="1"/>
    <x v="7"/>
    <x v="5"/>
    <x v="1"/>
    <n v="9"/>
    <x v="1"/>
    <m/>
    <m/>
    <x v="0"/>
  </r>
  <r>
    <n v="6"/>
    <m/>
    <s v="27763 Haverhill Dr"/>
    <s v="Warren"/>
    <s v="MI"/>
    <n v="48092"/>
    <m/>
    <m/>
    <m/>
    <m/>
    <m/>
    <m/>
    <n v="89"/>
    <s v="Aleeza Hussain"/>
    <n v="53"/>
    <s v="Kamal Hussain"/>
    <n v="13133126688"/>
    <s v="Salma Hussain"/>
    <m/>
    <x v="0"/>
    <x v="3"/>
    <x v="6"/>
    <x v="1"/>
    <n v="11"/>
    <x v="1"/>
    <m/>
    <m/>
    <x v="0"/>
  </r>
  <r>
    <n v="7"/>
    <m/>
    <s v="8320 Continental Ave"/>
    <s v="Warren"/>
    <s v="MI"/>
    <n v="48089"/>
    <s v="tawhideusrajib@gmail.com"/>
    <m/>
    <m/>
    <m/>
    <m/>
    <m/>
    <n v="90"/>
    <s v="Ayaan Abdullah Rajib"/>
    <n v="54"/>
    <s v="Tawhideus J Rajib"/>
    <n v="15864430227"/>
    <s v="Halima Hannan"/>
    <n v="15864043167"/>
    <x v="1"/>
    <x v="7"/>
    <x v="0"/>
    <x v="0"/>
    <m/>
    <x v="1"/>
    <m/>
    <m/>
    <x v="1"/>
  </r>
  <r>
    <n v="8"/>
    <m/>
    <s v="2681 Locksley Ct"/>
    <s v="Warren"/>
    <s v="MI"/>
    <n v="48083"/>
    <s v="mead1950@att.net"/>
    <s v="Shah Alam"/>
    <s v="Uncle"/>
    <m/>
    <n v="12482274052"/>
    <m/>
    <n v="91"/>
    <s v="Manaliaa Hossain"/>
    <n v="55"/>
    <s v="Mohammed Mosharrof Hosson"/>
    <n v="15864201144"/>
    <s v="Mossammed Hossain"/>
    <n v="15863396355"/>
    <x v="0"/>
    <x v="7"/>
    <x v="6"/>
    <x v="1"/>
    <n v="1"/>
    <x v="1"/>
    <m/>
    <m/>
    <x v="0"/>
  </r>
  <r>
    <n v="14"/>
    <m/>
    <s v="3870 Morrissey Ave"/>
    <s v="Warren"/>
    <s v="MI"/>
    <n v="48091"/>
    <m/>
    <m/>
    <s v="Aunti"/>
    <n v="19472776604"/>
    <n v="13137449030"/>
    <m/>
    <n v="92"/>
    <s v="Nazifa Haque"/>
    <n v="56"/>
    <s v="Fayzul Haque"/>
    <n v="13137448930"/>
    <s v="Fahmida S Rahman"/>
    <n v="15864388614"/>
    <x v="0"/>
    <x v="10"/>
    <x v="0"/>
    <x v="0"/>
    <m/>
    <x v="1"/>
    <m/>
    <m/>
    <x v="1"/>
  </r>
  <r>
    <n v="9"/>
    <m/>
    <s v="3870 Morrissey Ave"/>
    <s v="Warren"/>
    <s v="MI"/>
    <n v="48091"/>
    <m/>
    <m/>
    <s v="Aunti"/>
    <n v="19472776604"/>
    <n v="13137449030"/>
    <m/>
    <n v="93"/>
    <s v="Asfia Haque"/>
    <n v="56"/>
    <s v="Fayzul Haque"/>
    <n v="13137448930"/>
    <s v="Fahmida S Rahman"/>
    <n v="15864388614"/>
    <x v="0"/>
    <x v="2"/>
    <x v="0"/>
    <x v="0"/>
    <m/>
    <x v="1"/>
    <m/>
    <m/>
    <x v="1"/>
  </r>
  <r>
    <n v="13"/>
    <n v="3"/>
    <s v="28211 Norwood"/>
    <s v="Warren"/>
    <s v="MI"/>
    <n v="48092"/>
    <s v="rumana20111@hotmail.com"/>
    <s v="Sabina Yesmin"/>
    <s v="Aunt"/>
    <n v="13137219089"/>
    <m/>
    <m/>
    <n v="94"/>
    <s v="Wafiqah Huda"/>
    <n v="57"/>
    <s v="Shahadat Huda"/>
    <n v="13137219066"/>
    <s v="Rumana Huda"/>
    <n v="15863441980"/>
    <x v="0"/>
    <x v="9"/>
    <x v="0"/>
    <x v="0"/>
    <m/>
    <x v="1"/>
    <m/>
    <m/>
    <x v="1"/>
  </r>
  <r>
    <n v="11"/>
    <n v="3"/>
    <s v="28211 Norwood"/>
    <s v="Warren"/>
    <s v="MI"/>
    <n v="48092"/>
    <s v="rumana20111@hotmail.com"/>
    <s v="Sabina Yesmin"/>
    <s v="Aunt"/>
    <n v="13137219089"/>
    <m/>
    <m/>
    <n v="95"/>
    <s v="Anousha Huda"/>
    <n v="57"/>
    <s v="Shahadat Huda"/>
    <n v="13137219066"/>
    <s v="Rumana Huda"/>
    <n v="15863441980"/>
    <x v="0"/>
    <x v="1"/>
    <x v="0"/>
    <x v="0"/>
    <m/>
    <x v="1"/>
    <m/>
    <m/>
    <x v="1"/>
  </r>
  <r>
    <n v="5"/>
    <m/>
    <s v="28211 Norwood"/>
    <s v="Warren"/>
    <s v="MI"/>
    <n v="48092"/>
    <s v="rumana20111@hotmail.com"/>
    <s v="Sabina Yesmin"/>
    <s v="Aunt"/>
    <n v="13137219089"/>
    <m/>
    <m/>
    <n v="96"/>
    <s v="Arham Huda"/>
    <n v="57"/>
    <s v="Shahadat Huda"/>
    <n v="13137219066"/>
    <s v="Rumana Huda"/>
    <n v="15863441980"/>
    <x v="1"/>
    <x v="3"/>
    <x v="0"/>
    <x v="0"/>
    <m/>
    <x v="1"/>
    <m/>
    <m/>
    <x v="1"/>
  </r>
  <r>
    <n v="7"/>
    <n v="2"/>
    <s v="28211 Norwood"/>
    <s v="Warren"/>
    <s v="MI"/>
    <n v="48092"/>
    <s v="rumana20111@hotmail.com"/>
    <s v="Sabina Yesmin"/>
    <s v="Aunt"/>
    <n v="13137219089"/>
    <m/>
    <m/>
    <n v="97"/>
    <s v="Irfan Huda"/>
    <n v="57"/>
    <s v="Shahadat Huda"/>
    <n v="13137219066"/>
    <s v="Rumana Huda"/>
    <n v="15863441980"/>
    <x v="1"/>
    <x v="5"/>
    <x v="0"/>
    <x v="0"/>
    <m/>
    <x v="1"/>
    <m/>
    <m/>
    <x v="1"/>
  </r>
  <r>
    <n v="12"/>
    <n v="3"/>
    <s v="20754 Doepfer Rd"/>
    <s v="Warren"/>
    <s v="MI"/>
    <n v="48091"/>
    <s v="kafi6240@gmail.com"/>
    <s v="Abul Kashem Fateh"/>
    <s v="Brother"/>
    <m/>
    <m/>
    <m/>
    <n v="98"/>
    <s v="Nafisa Abdullah"/>
    <n v="58"/>
    <s v="Md Abdullah Kafi"/>
    <n v="12483159589"/>
    <s v="Hafiza Khatun"/>
    <n v="15862898850"/>
    <x v="0"/>
    <x v="9"/>
    <x v="4"/>
    <x v="0"/>
    <m/>
    <x v="1"/>
    <m/>
    <m/>
    <x v="1"/>
  </r>
  <r>
    <n v="5"/>
    <n v="1"/>
    <s v="26728 Wexford DR"/>
    <s v="Warren"/>
    <s v="MI"/>
    <n v="48091"/>
    <m/>
    <s v="Nahima Choudhury"/>
    <s v="Aunt"/>
    <n v="13136639771"/>
    <m/>
    <m/>
    <n v="99"/>
    <s v="Tasnim Choudhury"/>
    <n v="59"/>
    <s v="Muhim Choudhury"/>
    <n v="15863605727"/>
    <s v="Azima Parvin"/>
    <m/>
    <x v="1"/>
    <x v="3"/>
    <x v="3"/>
    <x v="1"/>
    <n v="14"/>
    <x v="0"/>
    <n v="8"/>
    <m/>
    <x v="0"/>
  </r>
  <r>
    <n v="6"/>
    <s v="Qaida"/>
    <s v="26619 Eureka Dr."/>
    <s v="Warren"/>
    <s v="MI"/>
    <n v="48091"/>
    <m/>
    <m/>
    <m/>
    <m/>
    <m/>
    <m/>
    <n v="100"/>
    <s v="Yameen Ahmed"/>
    <n v="60"/>
    <s v="Mohammad Bilal Ahmed"/>
    <n v="15868222625"/>
    <s v="Mahbuba Begum"/>
    <n v="13134191269"/>
    <x v="1"/>
    <x v="0"/>
    <x v="6"/>
    <x v="1"/>
    <n v="13"/>
    <x v="1"/>
    <m/>
    <m/>
    <x v="0"/>
  </r>
  <r>
    <n v="13"/>
    <m/>
    <s v="29221 Gilbert-DR"/>
    <s v="Warren"/>
    <s v="MI"/>
    <n v="48093"/>
    <s v="shakijoynul@gmail.com"/>
    <s v="Md. Faruq Udin"/>
    <m/>
    <n v="13133123761"/>
    <n v="13133123761"/>
    <m/>
    <n v="101"/>
    <s v="Ahmed Adil"/>
    <n v="61"/>
    <s v="Md. Joynul Abedin"/>
    <n v="13134551280"/>
    <s v="Shaki Begum"/>
    <m/>
    <x v="1"/>
    <x v="0"/>
    <x v="0"/>
    <x v="0"/>
    <m/>
    <x v="1"/>
    <m/>
    <m/>
    <x v="1"/>
  </r>
  <r>
    <n v="5"/>
    <m/>
    <s v="29221 Gilbert-DR"/>
    <s v="Warren"/>
    <s v="MI"/>
    <n v="48093"/>
    <s v="shakijoynul@gmail.com"/>
    <s v="Md. Faruq Udin"/>
    <m/>
    <n v="13133123761"/>
    <n v="13133123761"/>
    <m/>
    <n v="102"/>
    <s v="Abrar Abedin"/>
    <n v="61"/>
    <s v="Md. Joynul Abedin"/>
    <n v="13134551280"/>
    <s v="Shaki Begum"/>
    <m/>
    <x v="1"/>
    <x v="0"/>
    <x v="0"/>
    <x v="0"/>
    <m/>
    <x v="1"/>
    <m/>
    <m/>
    <x v="1"/>
  </r>
  <r>
    <n v="9"/>
    <m/>
    <s v="3249 Bernice Ave"/>
    <s v="Warren"/>
    <s v="MI"/>
    <n v="48212"/>
    <s v="khanmohd84@yahoo.com"/>
    <s v="Khan Tirmiz"/>
    <s v="Brother"/>
    <m/>
    <n v="15869446688"/>
    <m/>
    <n v="103"/>
    <s v="Tajwar Younus Khan"/>
    <n v="62"/>
    <s v="Mohd L Khan"/>
    <n v="15868728182"/>
    <s v="Dilruba J Khan"/>
    <m/>
    <x v="1"/>
    <x v="0"/>
    <x v="4"/>
    <x v="1"/>
    <n v="6"/>
    <x v="1"/>
    <m/>
    <m/>
    <x v="0"/>
  </r>
  <r>
    <n v="12"/>
    <s v="Hifz"/>
    <s v="11932 Champaign Ave"/>
    <s v="Warren"/>
    <s v="MI"/>
    <n v="48084"/>
    <m/>
    <s v="Musannat Islam"/>
    <s v="Sister"/>
    <m/>
    <n v="15865533733"/>
    <m/>
    <n v="104"/>
    <s v="Azharul Islam"/>
    <n v="63"/>
    <s v="Muhammed Islam"/>
    <n v="13133498839"/>
    <s v="Tahara Parbin"/>
    <m/>
    <x v="1"/>
    <x v="10"/>
    <x v="4"/>
    <x v="1"/>
    <n v="14"/>
    <x v="1"/>
    <m/>
    <m/>
    <x v="0"/>
  </r>
  <r>
    <n v="7"/>
    <m/>
    <s v="24721 Beienman Ave"/>
    <s v="Warren"/>
    <s v="MI"/>
    <n v="48091"/>
    <m/>
    <m/>
    <m/>
    <m/>
    <m/>
    <m/>
    <n v="105"/>
    <s v="Muhannad Uddin"/>
    <n v="64"/>
    <s v="Muhi Uddin"/>
    <n v="15867388443"/>
    <s v="Arifa Begum"/>
    <n v="15865656860"/>
    <x v="1"/>
    <x v="0"/>
    <x v="0"/>
    <x v="0"/>
    <m/>
    <x v="1"/>
    <m/>
    <m/>
    <x v="1"/>
  </r>
  <r>
    <n v="8"/>
    <m/>
    <s v="24721 Beienman Ave"/>
    <s v="Warren"/>
    <s v="MI"/>
    <n v="48091"/>
    <m/>
    <m/>
    <m/>
    <m/>
    <m/>
    <m/>
    <n v="106"/>
    <s v="Daania Uddin"/>
    <n v="64"/>
    <s v="Muhi Uddin"/>
    <n v="15867388443"/>
    <s v="Arifa Begum"/>
    <n v="15865656860"/>
    <x v="0"/>
    <x v="0"/>
    <x v="0"/>
    <x v="0"/>
    <m/>
    <x v="1"/>
    <m/>
    <m/>
    <x v="1"/>
  </r>
  <r>
    <n v="6"/>
    <m/>
    <s v="31712 Belleav Dr"/>
    <s v="Warren"/>
    <s v="MI"/>
    <n v="48092"/>
    <s v="mdkislam18@gmail.com"/>
    <m/>
    <m/>
    <m/>
    <m/>
    <m/>
    <n v="107"/>
    <s v="Mehjabieen Islam"/>
    <n v="65"/>
    <s v="Md K Islam"/>
    <n v="13135023339"/>
    <s v="Fardusi Rahman"/>
    <n v="13133277794"/>
    <x v="0"/>
    <x v="3"/>
    <x v="6"/>
    <x v="1"/>
    <n v="12"/>
    <x v="1"/>
    <m/>
    <m/>
    <x v="0"/>
  </r>
  <r>
    <n v="7"/>
    <m/>
    <s v="31712 Belleav Dr"/>
    <s v="Warren"/>
    <s v="MI"/>
    <n v="48092"/>
    <s v="mdkislam18@gmail.com"/>
    <m/>
    <m/>
    <m/>
    <m/>
    <m/>
    <n v="108"/>
    <s v="Noushin Islam"/>
    <n v="65"/>
    <s v="Md K Islam"/>
    <n v="13135023339"/>
    <s v="Fardusi Rahman"/>
    <n v="13133277794"/>
    <x v="0"/>
    <x v="7"/>
    <x v="5"/>
    <x v="1"/>
    <n v="9"/>
    <x v="1"/>
    <m/>
    <m/>
    <x v="0"/>
  </r>
  <r>
    <n v="13"/>
    <m/>
    <s v="31712 Belleav Dr"/>
    <s v="Warren"/>
    <s v="MI"/>
    <n v="48092"/>
    <s v="mdkislam18@gmail.com"/>
    <m/>
    <m/>
    <m/>
    <m/>
    <m/>
    <n v="109"/>
    <s v="Afreen Islam"/>
    <n v="65"/>
    <s v="Md K Islam"/>
    <n v="13135023339"/>
    <s v="Fardusi Rahman"/>
    <n v="13133277794"/>
    <x v="0"/>
    <x v="10"/>
    <x v="1"/>
    <x v="1"/>
    <n v="1"/>
    <x v="1"/>
    <m/>
    <m/>
    <x v="0"/>
  </r>
  <r>
    <n v="8"/>
    <m/>
    <s v="3876 Norbert Ave"/>
    <s v="Warren"/>
    <s v="MI"/>
    <n v="48091"/>
    <s v="mashrafulamin1971@gmail.com"/>
    <m/>
    <m/>
    <m/>
    <m/>
    <m/>
    <n v="110"/>
    <s v="Aisha Rahma"/>
    <n v="66"/>
    <s v="Mohammed Amin"/>
    <n v="15862221281"/>
    <s v="Helena Akter"/>
    <n v="15863546134"/>
    <x v="0"/>
    <x v="2"/>
    <x v="5"/>
    <x v="1"/>
    <n v="2"/>
    <x v="1"/>
    <m/>
    <m/>
    <x v="0"/>
  </r>
  <r>
    <n v="10"/>
    <m/>
    <s v="28806 Lund Ave"/>
    <s v="Warren"/>
    <s v="MI"/>
    <n v="48093"/>
    <s v="shahinub1985@gmail.com"/>
    <s v="Fariha Chowdhury"/>
    <s v="Sister"/>
    <n v="13134153021"/>
    <m/>
    <m/>
    <n v="111"/>
    <s v="Alisha Zaman Chowdhury"/>
    <n v="67"/>
    <s v="Ohiduzzaman Chowdhury"/>
    <n v="13134552514"/>
    <s v="Shahina Chowdhury"/>
    <m/>
    <x v="0"/>
    <x v="4"/>
    <x v="0"/>
    <x v="0"/>
    <m/>
    <x v="1"/>
    <m/>
    <m/>
    <x v="1"/>
  </r>
  <r>
    <n v="7"/>
    <m/>
    <s v="27430 Virgina Dr"/>
    <s v="Warren"/>
    <s v="MI"/>
    <n v="48092"/>
    <m/>
    <m/>
    <m/>
    <m/>
    <m/>
    <m/>
    <n v="112"/>
    <s v="Mahira Hussain"/>
    <n v="68"/>
    <s v="Delwar Hussain"/>
    <n v="13138060384"/>
    <s v="Azizun Nessa"/>
    <m/>
    <x v="0"/>
    <x v="5"/>
    <x v="4"/>
    <x v="1"/>
    <n v="6"/>
    <x v="1"/>
    <m/>
    <m/>
    <x v="0"/>
  </r>
  <r>
    <n v="7"/>
    <m/>
    <s v="3040 Pearl Ave"/>
    <s v="Warren"/>
    <s v="MI"/>
    <n v="48091"/>
    <s v="saraya@gmail.com"/>
    <m/>
    <m/>
    <m/>
    <m/>
    <m/>
    <n v="114"/>
    <s v="Hafsa Alam"/>
    <n v="70"/>
    <s v="Sayful Alam Suhel"/>
    <n v="12489228429"/>
    <m/>
    <m/>
    <x v="0"/>
    <x v="7"/>
    <x v="0"/>
    <x v="0"/>
    <m/>
    <x v="1"/>
    <m/>
    <m/>
    <x v="1"/>
  </r>
  <r>
    <n v="5"/>
    <m/>
    <s v="3040 Pearl Ave"/>
    <s v="Warren"/>
    <s v="MI"/>
    <n v="48091"/>
    <s v="saraya@gmail.com"/>
    <m/>
    <m/>
    <m/>
    <m/>
    <m/>
    <n v="115"/>
    <s v="Aisha Alam"/>
    <n v="70"/>
    <s v="Sayful Alam Suhel"/>
    <n v="12489228429"/>
    <m/>
    <m/>
    <x v="0"/>
    <x v="3"/>
    <x v="0"/>
    <x v="0"/>
    <m/>
    <x v="1"/>
    <m/>
    <m/>
    <x v="1"/>
  </r>
  <r>
    <n v="10"/>
    <s v="Hifz"/>
    <s v="3545 Dolores Ave"/>
    <s v="Warren"/>
    <s v="MI"/>
    <n v="48091"/>
    <m/>
    <m/>
    <m/>
    <m/>
    <m/>
    <m/>
    <n v="116"/>
    <s v="Nazmul Shaheen"/>
    <n v="71"/>
    <s v="Kamrul Shaheen"/>
    <n v="5863036606"/>
    <s v="Baby Begum"/>
    <m/>
    <x v="1"/>
    <x v="1"/>
    <x v="4"/>
    <x v="1"/>
    <n v="16"/>
    <x v="1"/>
    <m/>
    <m/>
    <x v="0"/>
  </r>
  <r>
    <n v="10"/>
    <m/>
    <s v="Warren"/>
    <s v="Warren"/>
    <s v="MI"/>
    <n v="48092"/>
    <s v="fakhrul021978@yahoo.com"/>
    <s v="Sayla Akter Sayma"/>
    <s v="Spouse"/>
    <n v="13136031532"/>
    <n v="13136039921"/>
    <m/>
    <n v="117"/>
    <s v="Hafsa Islam"/>
    <n v="72"/>
    <s v="Fakhrul Islam Sayla Akter Sayma"/>
    <n v="13136031532"/>
    <s v="4853 Wlgast Dr"/>
    <n v="13136039921"/>
    <x v="0"/>
    <x v="1"/>
    <x v="4"/>
    <x v="1"/>
    <n v="5"/>
    <x v="1"/>
    <m/>
    <m/>
    <x v="0"/>
  </r>
  <r>
    <n v="7"/>
    <m/>
    <s v="Warren"/>
    <s v="Warren"/>
    <s v="MI"/>
    <n v="48092"/>
    <s v="fakhrul021978@yahoo.com"/>
    <s v="Sayla Akter Sayma"/>
    <s v="Spouse"/>
    <n v="13136031532"/>
    <n v="13136039921"/>
    <m/>
    <n v="118"/>
    <s v="Adyan Islam"/>
    <n v="72"/>
    <s v="Fakhrul Islam Sayla Akter Sayma"/>
    <n v="13136031532"/>
    <s v="4853 Wlgast Dr"/>
    <n v="13136039921"/>
    <x v="1"/>
    <x v="7"/>
    <x v="0"/>
    <x v="0"/>
    <m/>
    <x v="1"/>
    <m/>
    <m/>
    <x v="1"/>
  </r>
  <r>
    <n v="10"/>
    <s v="Qaida"/>
    <s v="24219 Joanne Ave"/>
    <s v="Warren"/>
    <s v="MI"/>
    <n v="48091"/>
    <s v="sirajsylhet1974@gmail.com"/>
    <s v="Helalul Islam"/>
    <s v="Uncle"/>
    <n v="12484347972"/>
    <m/>
    <m/>
    <n v="119"/>
    <s v="Yusuf Zulkarnine"/>
    <n v="73"/>
    <s v="Mohammed Sirajul Islam"/>
    <n v="13134232232"/>
    <s v="Nilufa Begum"/>
    <m/>
    <x v="1"/>
    <x v="4"/>
    <x v="5"/>
    <x v="1"/>
    <n v="7"/>
    <x v="1"/>
    <m/>
    <m/>
    <x v="0"/>
  </r>
  <r>
    <n v="8"/>
    <s v="Qaida"/>
    <s v="3138 Menge Ave"/>
    <s v="Warren"/>
    <s v="MI"/>
    <n v="48091"/>
    <m/>
    <s v="Rabbir Hussain"/>
    <s v="Uncle"/>
    <m/>
    <n v="13136038359"/>
    <m/>
    <n v="120"/>
    <s v="Afraz Alamgir"/>
    <n v="74"/>
    <s v="Alamgir H"/>
    <n v="13134527306"/>
    <s v="Papia Chowdhury"/>
    <n v="13134195861"/>
    <x v="1"/>
    <x v="2"/>
    <x v="5"/>
    <x v="1"/>
    <n v="3"/>
    <x v="1"/>
    <m/>
    <m/>
    <x v="0"/>
  </r>
  <r>
    <n v="6"/>
    <s v="Qaida"/>
    <s v="3138 Menge Ave"/>
    <s v="Warren"/>
    <s v="MI"/>
    <n v="48091"/>
    <m/>
    <s v="Rabbir Hussain"/>
    <s v="Uncle"/>
    <m/>
    <n v="13136038359"/>
    <m/>
    <n v="121"/>
    <s v="Aryan Alamgir"/>
    <n v="74"/>
    <s v="Alamgir H"/>
    <n v="13134527306"/>
    <s v="Papia Chowdhury"/>
    <n v="13134195861"/>
    <x v="1"/>
    <x v="5"/>
    <x v="5"/>
    <x v="1"/>
    <n v="4"/>
    <x v="1"/>
    <m/>
    <m/>
    <x v="0"/>
  </r>
  <r>
    <n v="7"/>
    <s v="Qaida"/>
    <s v="3166 Mckinley Ave"/>
    <s v="Warren"/>
    <s v="MI"/>
    <n v="48091"/>
    <s v="nkhan2009@yahoo.com"/>
    <m/>
    <m/>
    <m/>
    <m/>
    <m/>
    <n v="122"/>
    <s v="Abeed Khan"/>
    <n v="75"/>
    <s v="Muhammad N Khan"/>
    <n v="13169907462"/>
    <s v="Rahatun N Chowdhury"/>
    <n v="13168075354"/>
    <x v="1"/>
    <x v="2"/>
    <x v="5"/>
    <x v="0"/>
    <m/>
    <x v="1"/>
    <m/>
    <m/>
    <x v="1"/>
  </r>
  <r>
    <n v="11"/>
    <m/>
    <s v="3166 Mckinley Ave"/>
    <s v="Warren"/>
    <s v="MI"/>
    <n v="48091"/>
    <s v="nkhan2009@yahoo.com"/>
    <m/>
    <m/>
    <m/>
    <m/>
    <m/>
    <n v="123"/>
    <s v="Areeba Khanom"/>
    <n v="75"/>
    <s v="Muhammad N Khan"/>
    <n v="13169907462"/>
    <s v="Rahatun N Chowdhury"/>
    <n v="13168075354"/>
    <x v="0"/>
    <x v="6"/>
    <x v="0"/>
    <x v="0"/>
    <m/>
    <x v="1"/>
    <m/>
    <m/>
    <x v="1"/>
  </r>
  <r>
    <n v="16"/>
    <m/>
    <s v="11122Meadow Brook Dr"/>
    <s v="Warren"/>
    <s v="MI"/>
    <n v="48093"/>
    <s v="mostakahmed57@gmail.com"/>
    <s v="Najnin Miah"/>
    <s v="Brother"/>
    <n v="13134558013"/>
    <m/>
    <m/>
    <n v="124"/>
    <s v="Lukman Ahmed Miah"/>
    <n v="76"/>
    <s v="Mostak Ahmed"/>
    <n v="13133206863"/>
    <s v="Jahanara B Dolly"/>
    <n v="13133207833"/>
    <x v="1"/>
    <x v="12"/>
    <x v="4"/>
    <x v="0"/>
    <m/>
    <x v="1"/>
    <m/>
    <m/>
    <x v="1"/>
  </r>
  <r>
    <n v="9"/>
    <m/>
    <s v="11744 Highland Dr"/>
    <s v="Warren"/>
    <s v="MI"/>
    <n v="48089"/>
    <s v="salahuddin.response@gmail.com"/>
    <m/>
    <m/>
    <m/>
    <m/>
    <m/>
    <n v="125"/>
    <s v="Nurat Salahuddin"/>
    <n v="77"/>
    <s v="MD Salahuddin"/>
    <n v="13137185345"/>
    <s v="Shahana Afrose"/>
    <m/>
    <x v="0"/>
    <x v="0"/>
    <x v="2"/>
    <x v="1"/>
    <n v="8"/>
    <x v="1"/>
    <m/>
    <m/>
    <x v="0"/>
  </r>
  <r>
    <n v="7"/>
    <m/>
    <s v="3624 Pearl Ave"/>
    <s v="Warren"/>
    <s v="MI"/>
    <n v="48091"/>
    <m/>
    <m/>
    <m/>
    <m/>
    <m/>
    <m/>
    <n v="126"/>
    <s v="Jana Al Jannat Uddin"/>
    <n v="78"/>
    <s v="Md Jamal Uddin"/>
    <n v="18189464952"/>
    <s v="Sonya Siddika"/>
    <n v="18188264280"/>
    <x v="0"/>
    <x v="5"/>
    <x v="0"/>
    <x v="0"/>
    <m/>
    <x v="1"/>
    <m/>
    <m/>
    <x v="1"/>
  </r>
  <r>
    <n v="8"/>
    <m/>
    <s v="23850 Masch Ave"/>
    <s v="Warren"/>
    <s v="MI"/>
    <n v="48091"/>
    <m/>
    <m/>
    <m/>
    <m/>
    <m/>
    <m/>
    <n v="127"/>
    <s v="Safwan Ahmed"/>
    <n v="79"/>
    <s v="Bashir Ahmed"/>
    <n v="15865778016"/>
    <s v="Foorida Ahmed"/>
    <n v="13133499899"/>
    <x v="1"/>
    <x v="2"/>
    <x v="2"/>
    <x v="1"/>
    <n v="12"/>
    <x v="1"/>
    <m/>
    <m/>
    <x v="0"/>
  </r>
  <r>
    <n v="11"/>
    <m/>
    <s v="4866 Lenoman Ct"/>
    <s v="Sterling Heights"/>
    <s v="MI"/>
    <n v="48310"/>
    <m/>
    <m/>
    <m/>
    <m/>
    <m/>
    <m/>
    <n v="128"/>
    <s v="Riyad Miah"/>
    <n v="80"/>
    <s v="Mohammed D Miah"/>
    <n v="15863035068"/>
    <s v="Musammat R Begum"/>
    <n v="13135984347"/>
    <x v="1"/>
    <x v="1"/>
    <x v="2"/>
    <x v="1"/>
    <n v="11"/>
    <x v="1"/>
    <m/>
    <m/>
    <x v="0"/>
  </r>
  <r>
    <n v="7"/>
    <m/>
    <s v="4866 Lenoman Ct"/>
    <s v="Sterling Heights"/>
    <s v="MI"/>
    <n v="48310"/>
    <m/>
    <m/>
    <m/>
    <m/>
    <m/>
    <m/>
    <n v="129"/>
    <s v="Sonia Begum"/>
    <n v="80"/>
    <s v="Mohammed D Miah"/>
    <n v="15863035068"/>
    <s v="Musammat R Begum"/>
    <n v="13135984347"/>
    <x v="0"/>
    <x v="7"/>
    <x v="6"/>
    <x v="1"/>
    <n v="2"/>
    <x v="1"/>
    <m/>
    <m/>
    <x v="0"/>
  </r>
  <r>
    <n v="5"/>
    <s v="Qaida"/>
    <s v="3845 Dawa Dr"/>
    <s v="Warren"/>
    <s v="MI"/>
    <n v="48092"/>
    <s v="m.haque345@gmail.com"/>
    <s v="Mozidul Hoque"/>
    <s v="Brother"/>
    <m/>
    <n v="13137754019"/>
    <m/>
    <n v="130"/>
    <s v="Mahdi Haque"/>
    <n v="81"/>
    <s v="Mohammad Shamsul Haque"/>
    <n v="13133334585"/>
    <s v="Hena Haque"/>
    <m/>
    <x v="1"/>
    <x v="3"/>
    <x v="5"/>
    <x v="1"/>
    <n v="12"/>
    <x v="1"/>
    <m/>
    <m/>
    <x v="0"/>
  </r>
  <r>
    <n v="6"/>
    <m/>
    <s v="26165 Thomas St"/>
    <s v="Warren"/>
    <s v="MI"/>
    <n v="48091"/>
    <s v="abdulrafiq9605@gmail.com"/>
    <s v="Rashina Begum"/>
    <s v="Sister"/>
    <n v="13135024608"/>
    <m/>
    <m/>
    <n v="131"/>
    <s v="Alisha Begum"/>
    <n v="82"/>
    <s v="MD Abdul Rafiq"/>
    <n v="13134208274"/>
    <s v="Farjana Begum"/>
    <m/>
    <x v="0"/>
    <x v="5"/>
    <x v="0"/>
    <x v="0"/>
    <m/>
    <x v="1"/>
    <m/>
    <m/>
    <x v="1"/>
  </r>
  <r>
    <n v="14"/>
    <s v="Hifz"/>
    <s v="3020 Seator Circuit N"/>
    <s v="Warren"/>
    <s v="MI"/>
    <n v="48091"/>
    <s v="sanjidalucky22@yahoo.com"/>
    <s v="Rahnuma Samiah"/>
    <s v="Sister"/>
    <n v="13132814614"/>
    <n v="13132814625"/>
    <m/>
    <n v="132"/>
    <s v="Sahiem Rahman"/>
    <n v="83"/>
    <s v="Khalilur Rahman"/>
    <n v="13133923524"/>
    <s v="Sanjida K Lucky"/>
    <n v="13132814614"/>
    <x v="1"/>
    <x v="8"/>
    <x v="1"/>
    <x v="1"/>
    <n v="9"/>
    <x v="1"/>
    <m/>
    <m/>
    <x v="0"/>
  </r>
  <r>
    <n v="7"/>
    <m/>
    <s v="3020 Seator Circuit N"/>
    <s v="Warren"/>
    <s v="MI"/>
    <n v="48091"/>
    <s v="sanjidalucky22@yahoo.com"/>
    <s v="Rahnuma Samiah"/>
    <s v="Sister"/>
    <n v="13132814614"/>
    <n v="13132814625"/>
    <m/>
    <n v="133"/>
    <s v="Shafin Rahman"/>
    <n v="83"/>
    <s v="Khalilur Rahman"/>
    <n v="13133923524"/>
    <s v="Sanjida K Lucky"/>
    <n v="13132814614"/>
    <x v="1"/>
    <x v="5"/>
    <x v="0"/>
    <x v="0"/>
    <m/>
    <x v="1"/>
    <m/>
    <m/>
    <x v="1"/>
  </r>
  <r>
    <n v="8"/>
    <n v="3"/>
    <s v="25755 Patricia Ave"/>
    <s v="Warren"/>
    <s v="MI"/>
    <n v="48091"/>
    <m/>
    <m/>
    <m/>
    <m/>
    <m/>
    <m/>
    <n v="134"/>
    <s v="Suhaiba Khan"/>
    <n v="84"/>
    <s v="Mizanur Khan"/>
    <n v="13135107547"/>
    <m/>
    <n v="13137750672"/>
    <x v="0"/>
    <x v="4"/>
    <x v="0"/>
    <x v="0"/>
    <m/>
    <x v="1"/>
    <m/>
    <m/>
    <x v="1"/>
  </r>
  <r>
    <n v="12"/>
    <n v="3"/>
    <s v="25755 Patricia Ave"/>
    <s v="Warren"/>
    <s v="MI"/>
    <n v="48091"/>
    <m/>
    <m/>
    <m/>
    <m/>
    <m/>
    <m/>
    <n v="135"/>
    <s v="Tayiba Sufia Khan"/>
    <n v="84"/>
    <s v="Mizanur Khan"/>
    <n v="13135107547"/>
    <m/>
    <n v="13137750672"/>
    <x v="0"/>
    <x v="9"/>
    <x v="0"/>
    <x v="0"/>
    <m/>
    <x v="1"/>
    <m/>
    <m/>
    <x v="1"/>
  </r>
  <r>
    <n v="8"/>
    <m/>
    <s v="35601 Marina Dr"/>
    <s v="Sterling Heights"/>
    <s v="MI"/>
    <n v="48312"/>
    <s v="tazrch@gmail.com"/>
    <m/>
    <m/>
    <m/>
    <m/>
    <m/>
    <n v="136"/>
    <s v="Ubayda Rashid Choudhury"/>
    <n v="85"/>
    <s v="Tahsinur Rashid Choudhury"/>
    <n v="13135491596"/>
    <s v="Tahmida Akhter Chowdhury"/>
    <n v="13137079539"/>
    <x v="0"/>
    <x v="7"/>
    <x v="2"/>
    <x v="1"/>
    <n v="15"/>
    <x v="1"/>
    <m/>
    <m/>
    <x v="0"/>
  </r>
  <r>
    <n v="5"/>
    <m/>
    <s v="35601 Marina Dr"/>
    <s v="Sterling Heights"/>
    <s v="MI"/>
    <n v="48312"/>
    <s v="tazrch@gmail.com"/>
    <m/>
    <m/>
    <m/>
    <m/>
    <m/>
    <n v="137"/>
    <s v="Ruqaiya Talia Rashid Choudhury"/>
    <n v="85"/>
    <s v="Tahsinur Rashid Choudhury"/>
    <n v="13135491596"/>
    <s v="Tahmida Akhter Chowdhury"/>
    <n v="13137079539"/>
    <x v="0"/>
    <x v="3"/>
    <x v="6"/>
    <x v="1"/>
    <n v="8"/>
    <x v="1"/>
    <m/>
    <m/>
    <x v="0"/>
  </r>
  <r>
    <n v="8"/>
    <s v="Sifara"/>
    <s v="2612 Seaton Circuit S"/>
    <s v="Warren"/>
    <s v="MI"/>
    <n v="48091"/>
    <s v="sadikchy10@gmail.com"/>
    <m/>
    <m/>
    <m/>
    <m/>
    <m/>
    <n v="138"/>
    <s v="Musab Chowdhury"/>
    <n v="86"/>
    <s v="Sadik Chowdhury"/>
    <n v="13474798690"/>
    <s v="Sajeda Begum"/>
    <m/>
    <x v="1"/>
    <x v="7"/>
    <x v="0"/>
    <x v="0"/>
    <m/>
    <x v="1"/>
    <m/>
    <m/>
    <x v="1"/>
  </r>
  <r>
    <n v="5"/>
    <m/>
    <s v="30519 Warner Ave"/>
    <s v="Warren"/>
    <s v="MI"/>
    <n v="48092"/>
    <s v="colcibegum771@gmail.com"/>
    <m/>
    <m/>
    <m/>
    <m/>
    <m/>
    <n v="139"/>
    <s v="Ifran Ahmed"/>
    <n v="87"/>
    <s v="Monir Miah"/>
    <n v="15867331914"/>
    <s v="Colci Begum"/>
    <n v="13137840573"/>
    <x v="1"/>
    <x v="0"/>
    <x v="0"/>
    <x v="0"/>
    <m/>
    <x v="1"/>
    <m/>
    <m/>
    <x v="1"/>
  </r>
  <r>
    <n v="9"/>
    <m/>
    <s v="322218 Newcastle Dr"/>
    <s v="Warren"/>
    <s v="MI"/>
    <n v="48093"/>
    <s v="lubabmasood2@gmail.com"/>
    <m/>
    <m/>
    <m/>
    <m/>
    <m/>
    <n v="140"/>
    <s v="Hanzalah Usman Tufail"/>
    <n v="88"/>
    <s v="MD Tufail"/>
    <n v="16315304308"/>
    <s v="Shahely Aktar"/>
    <n v="12124442995"/>
    <x v="1"/>
    <x v="4"/>
    <x v="0"/>
    <x v="0"/>
    <m/>
    <x v="1"/>
    <m/>
    <m/>
    <x v="1"/>
  </r>
  <r>
    <n v="9"/>
    <n v="1"/>
    <s v="23828 Ada Avenuew"/>
    <s v="Warren"/>
    <s v="MI"/>
    <n v="48091"/>
    <m/>
    <m/>
    <m/>
    <m/>
    <m/>
    <m/>
    <n v="141"/>
    <s v="Adiba Afrin Zahra"/>
    <n v="89"/>
    <s v="Safai Ahmed"/>
    <n v="15867224348"/>
    <s v="Tahrim Liza"/>
    <n v="15867224348"/>
    <x v="0"/>
    <x v="2"/>
    <x v="0"/>
    <x v="0"/>
    <m/>
    <x v="0"/>
    <n v="2"/>
    <m/>
    <x v="0"/>
  </r>
  <r>
    <n v="8"/>
    <n v="3"/>
    <s v="24483 Masch Ave"/>
    <s v="Warren"/>
    <s v="MI"/>
    <n v="48091"/>
    <s v="rahmanm64@yahoo.com"/>
    <m/>
    <m/>
    <m/>
    <m/>
    <m/>
    <n v="142"/>
    <s v="Hafiza Munira"/>
    <n v="90"/>
    <s v="Mohammad Hifzur Rahman"/>
    <n v="13136031479"/>
    <s v="Sumaya Shah Suma"/>
    <n v="15864816473"/>
    <x v="0"/>
    <x v="7"/>
    <x v="5"/>
    <x v="1"/>
    <n v="7"/>
    <x v="0"/>
    <n v="7"/>
    <m/>
    <x v="0"/>
  </r>
  <r>
    <n v="7"/>
    <n v="1"/>
    <s v="24483 Masch Ave"/>
    <s v="Warren"/>
    <s v="MI"/>
    <n v="48091"/>
    <s v="rahmanm64@yahoo.com"/>
    <m/>
    <m/>
    <m/>
    <m/>
    <m/>
    <n v="143"/>
    <s v="Humayra Mehrren"/>
    <n v="90"/>
    <s v="Mohammad Hifzur Rahman"/>
    <n v="13136031479"/>
    <s v="Sumaya Shah Suma"/>
    <n v="15864816473"/>
    <x v="0"/>
    <x v="7"/>
    <x v="6"/>
    <x v="1"/>
    <n v="5"/>
    <x v="0"/>
    <n v="4"/>
    <m/>
    <x v="0"/>
  </r>
  <r>
    <n v="6"/>
    <n v="2"/>
    <s v="24483 Masch Ave"/>
    <s v="Warren"/>
    <s v="MI"/>
    <n v="48091"/>
    <s v="rahmanm64@yahoo.com"/>
    <m/>
    <m/>
    <m/>
    <m/>
    <m/>
    <n v="144"/>
    <s v="Habibur Rahman"/>
    <n v="90"/>
    <s v="Mohammad Hifzur Rahman"/>
    <n v="13136031479"/>
    <s v="Sumaya Shah Suma"/>
    <n v="15864816473"/>
    <x v="1"/>
    <x v="5"/>
    <x v="6"/>
    <x v="1"/>
    <n v="4"/>
    <x v="0"/>
    <n v="3"/>
    <m/>
    <x v="0"/>
  </r>
  <r>
    <n v="15"/>
    <s v="Hifz"/>
    <s v="26552 Warner Ave"/>
    <s v="Warren"/>
    <s v="MI"/>
    <n v="48091"/>
    <m/>
    <m/>
    <m/>
    <m/>
    <m/>
    <m/>
    <n v="145"/>
    <s v="Adnan Ali"/>
    <n v="91"/>
    <s v="Hasan Ali"/>
    <n v="15864386550"/>
    <s v="n/a"/>
    <n v="15862774640"/>
    <x v="1"/>
    <x v="8"/>
    <x v="1"/>
    <x v="1"/>
    <n v="3"/>
    <x v="1"/>
    <m/>
    <m/>
    <x v="0"/>
  </r>
  <r>
    <n v="10"/>
    <m/>
    <s v="26552 Warner Ave"/>
    <s v="Warren"/>
    <s v="MI"/>
    <n v="48091"/>
    <m/>
    <m/>
    <m/>
    <m/>
    <m/>
    <m/>
    <n v="146"/>
    <s v="Aasma Ali"/>
    <n v="91"/>
    <s v="Hasan Ali"/>
    <n v="15864386550"/>
    <s v="n/a"/>
    <n v="15862774640"/>
    <x v="0"/>
    <x v="1"/>
    <x v="5"/>
    <x v="1"/>
    <n v="1"/>
    <x v="1"/>
    <m/>
    <m/>
    <x v="0"/>
  </r>
  <r>
    <m/>
    <m/>
    <s v="22316 Bruce St"/>
    <s v="Warren"/>
    <s v="MI"/>
    <n v="48091"/>
    <m/>
    <s v="Ref: Imam Basit Chowdhury"/>
    <m/>
    <m/>
    <m/>
    <m/>
    <n v="147"/>
    <s v="Zareen Khan"/>
    <n v="92"/>
    <s v="Mohammed J Khan"/>
    <n v="15862241011"/>
    <s v="Rozina Khanom"/>
    <m/>
    <x v="0"/>
    <x v="3"/>
    <x v="0"/>
    <x v="0"/>
    <m/>
    <x v="1"/>
    <m/>
    <m/>
    <x v="1"/>
  </r>
  <r>
    <n v="14"/>
    <m/>
    <s v="31472 Lyons C/R East"/>
    <s v="Warren"/>
    <s v="MI"/>
    <n v="48092"/>
    <s v="muhitraj@yahoo.com"/>
    <s v="Imran Chowdhury"/>
    <s v="Cousin"/>
    <m/>
    <s v="+15863283693"/>
    <m/>
    <n v="148"/>
    <s v="Tajwar Chowdhury"/>
    <n v="93"/>
    <s v="MD Abdul Muhit Chowdhury"/>
    <n v="13136030078"/>
    <s v="Tahura Chowdhury"/>
    <n v="13133275423"/>
    <x v="1"/>
    <x v="8"/>
    <x v="0"/>
    <x v="0"/>
    <m/>
    <x v="1"/>
    <m/>
    <m/>
    <x v="1"/>
  </r>
  <r>
    <n v="8"/>
    <m/>
    <s v="31472 Lyons C/R East"/>
    <s v="Warren"/>
    <s v="MI"/>
    <n v="48092"/>
    <s v="muhitraj@yahoo.com"/>
    <s v="Imran Chowdhury"/>
    <s v="Cousin"/>
    <m/>
    <s v="+15863283693"/>
    <m/>
    <n v="149"/>
    <s v="Tabeer Chowdhury"/>
    <n v="93"/>
    <s v="MD Abdul Muhit Chowdhury"/>
    <n v="13136030078"/>
    <s v="Tahura Chowdhury"/>
    <n v="13133275423"/>
    <x v="1"/>
    <x v="4"/>
    <x v="0"/>
    <x v="0"/>
    <m/>
    <x v="1"/>
    <m/>
    <m/>
    <x v="1"/>
  </r>
  <r>
    <n v="6"/>
    <m/>
    <s v="31472 Lyons C/R East"/>
    <s v="Warren"/>
    <s v="MI"/>
    <n v="48092"/>
    <s v="muhitraj@yahoo.com"/>
    <s v="Imran Chowdhury"/>
    <s v="Cousin"/>
    <m/>
    <s v="+15863283693"/>
    <m/>
    <n v="150"/>
    <s v="Saahir Chowdhury"/>
    <n v="93"/>
    <s v="MD Abdul Muhit Chowdhury"/>
    <n v="13136030078"/>
    <s v="Tahura Chowdhury"/>
    <n v="13133275423"/>
    <x v="1"/>
    <x v="7"/>
    <x v="0"/>
    <x v="0"/>
    <m/>
    <x v="1"/>
    <m/>
    <m/>
    <x v="1"/>
  </r>
  <r>
    <n v="7"/>
    <m/>
    <s v="4863 East 13 Mile Rd"/>
    <s v="Warren"/>
    <s v="MI"/>
    <n v="48092"/>
    <s v="chowdhuryhamida95@gmail.com"/>
    <s v="Tahura Chowdhury"/>
    <s v="Aunty"/>
    <m/>
    <s v="+13136030078"/>
    <m/>
    <n v="151"/>
    <s v="Abdullah Binyamin Chowdhury"/>
    <n v="94"/>
    <s v="Imran Ahmed Chowhdhury"/>
    <n v="12672317767"/>
    <s v="Hamida Khanom Chowdhury"/>
    <n v="15863283693"/>
    <x v="1"/>
    <x v="7"/>
    <x v="0"/>
    <x v="0"/>
    <m/>
    <x v="1"/>
    <m/>
    <m/>
    <x v="1"/>
  </r>
  <r>
    <n v="6"/>
    <n v="2"/>
    <s v="33044 Fuhrmann Dr"/>
    <s v="Sterling Heights"/>
    <s v="MI"/>
    <n v="48310"/>
    <s v="mamdud2013@gmail.com"/>
    <m/>
    <m/>
    <m/>
    <m/>
    <m/>
    <n v="152"/>
    <s v="Siyam Hussen"/>
    <n v="95"/>
    <s v="Mamdud Hussen"/>
    <n v="13133277976"/>
    <s v="Fatima Hussen"/>
    <m/>
    <x v="1"/>
    <x v="7"/>
    <x v="0"/>
    <x v="0"/>
    <m/>
    <x v="0"/>
    <n v="13"/>
    <m/>
    <x v="0"/>
  </r>
  <r>
    <n v="5"/>
    <n v="1"/>
    <s v="33044 Fuhrmann Dr"/>
    <s v="Sterling Heights"/>
    <s v="MI"/>
    <n v="48310"/>
    <s v="mamdud2013@gmail.com"/>
    <m/>
    <m/>
    <m/>
    <m/>
    <m/>
    <n v="153"/>
    <s v="Sifat Hussain"/>
    <n v="95"/>
    <s v="Mamdud Hussen"/>
    <n v="13133277976"/>
    <s v="Fatima Hussen"/>
    <m/>
    <x v="1"/>
    <x v="5"/>
    <x v="0"/>
    <x v="0"/>
    <m/>
    <x v="0"/>
    <n v="6"/>
    <m/>
    <x v="0"/>
  </r>
  <r>
    <n v="7"/>
    <m/>
    <s v="3133 Rome Ave"/>
    <s v="Warren"/>
    <s v="MI"/>
    <n v="48091"/>
    <s v="kdchowdhury261@gmail.om"/>
    <s v="Abdus Samad Chowdhury"/>
    <s v="Uncle"/>
    <m/>
    <s v="+13477127929"/>
    <m/>
    <n v="154"/>
    <s v="Tasbir Zayan"/>
    <n v="96"/>
    <s v="Abdul Kuddus Chowdhury"/>
    <n v="13473027246"/>
    <s v="na"/>
    <n v="13477127929"/>
    <x v="1"/>
    <x v="7"/>
    <x v="0"/>
    <x v="0"/>
    <m/>
    <x v="1"/>
    <m/>
    <m/>
    <x v="1"/>
  </r>
  <r>
    <n v="7"/>
    <m/>
    <s v="29620 Orville Drive"/>
    <s v="Warren"/>
    <s v="MI"/>
    <n v="48092"/>
    <m/>
    <s v="Abdul Kudus"/>
    <s v="Uncle"/>
    <m/>
    <s v="+13473027246"/>
    <m/>
    <n v="155"/>
    <s v="Tabit Chowdhury"/>
    <n v="97"/>
    <s v="Abdus Samad Chowdhury"/>
    <n v="13477127929"/>
    <s v="Takrima Z Sonia"/>
    <n v="15513267434"/>
    <x v="1"/>
    <x v="2"/>
    <x v="6"/>
    <x v="1"/>
    <n v="15"/>
    <x v="1"/>
    <m/>
    <m/>
    <x v="0"/>
  </r>
  <r>
    <n v="7"/>
    <m/>
    <s v="31743 Wixon Dr"/>
    <s v="Warren"/>
    <s v="MI"/>
    <n v="48092"/>
    <s v="mahfujulhaque2007@gmail.com"/>
    <m/>
    <m/>
    <m/>
    <m/>
    <m/>
    <n v="156"/>
    <s v="Umar Haque"/>
    <n v="98"/>
    <s v="Mahfujul Haque"/>
    <n v="13475932914"/>
    <s v="Zahra Haque"/>
    <n v="13474762261"/>
    <x v="1"/>
    <x v="7"/>
    <x v="0"/>
    <x v="0"/>
    <m/>
    <x v="1"/>
    <m/>
    <m/>
    <x v="1"/>
  </r>
  <r>
    <n v="8"/>
    <m/>
    <s v="33176 Blue Spruce Dr"/>
    <s v="Sterling Heights"/>
    <s v="MI"/>
    <n v="48310"/>
    <m/>
    <m/>
    <m/>
    <m/>
    <m/>
    <m/>
    <n v="157"/>
    <s v="Maria Rahman"/>
    <n v="99"/>
    <s v="Mahmudur Rahman"/>
    <n v="13133189073"/>
    <s v="Koly Rahman"/>
    <n v="13133189073"/>
    <x v="0"/>
    <x v="2"/>
    <x v="5"/>
    <x v="1"/>
    <n v="8"/>
    <x v="1"/>
    <m/>
    <m/>
    <x v="0"/>
  </r>
  <r>
    <n v="7"/>
    <m/>
    <s v="33176 Blue Spruce Dr"/>
    <s v="Sterling Heights"/>
    <s v="MI"/>
    <n v="48310"/>
    <m/>
    <m/>
    <m/>
    <m/>
    <m/>
    <m/>
    <n v="158"/>
    <s v="Fahmida Rahman"/>
    <n v="99"/>
    <s v="Mahmudur Rahman"/>
    <n v="13133189073"/>
    <s v="Koly Rahman"/>
    <n v="13133189073"/>
    <x v="0"/>
    <x v="7"/>
    <x v="6"/>
    <x v="1"/>
    <n v="3"/>
    <x v="1"/>
    <m/>
    <m/>
    <x v="0"/>
  </r>
  <r>
    <n v="11"/>
    <m/>
    <s v="33176 Blue Spruce Dr"/>
    <s v="Sterling Heights"/>
    <s v="MI"/>
    <n v="48310"/>
    <m/>
    <m/>
    <m/>
    <m/>
    <m/>
    <m/>
    <n v="159"/>
    <s v="Sabiha Rahman"/>
    <n v="99"/>
    <s v="Mahmudur Rahman"/>
    <n v="13133189073"/>
    <s v="Koly Rahman"/>
    <n v="13133189073"/>
    <x v="0"/>
    <x v="6"/>
    <x v="1"/>
    <x v="1"/>
    <n v="10"/>
    <x v="1"/>
    <m/>
    <m/>
    <x v="0"/>
  </r>
  <r>
    <n v="11"/>
    <m/>
    <s v="3151 Donna Ave"/>
    <s v="Warren"/>
    <s v="MI"/>
    <n v="48091"/>
    <s v="nahidasultana91@gmail.com"/>
    <m/>
    <m/>
    <m/>
    <m/>
    <m/>
    <n v="160"/>
    <s v="Zunairah Jannat"/>
    <n v="100"/>
    <s v="Tahmidul Islam"/>
    <n v="13137752598"/>
    <s v="Nahida Sultana"/>
    <n v="13133278899"/>
    <x v="0"/>
    <x v="6"/>
    <x v="1"/>
    <x v="1"/>
    <n v="15"/>
    <x v="1"/>
    <m/>
    <m/>
    <x v="0"/>
  </r>
  <r>
    <n v="6"/>
    <m/>
    <s v="3151 Donna Ave"/>
    <s v="Warren"/>
    <s v="MI"/>
    <n v="48091"/>
    <s v="nahidasultana91@gmail.com"/>
    <m/>
    <m/>
    <m/>
    <m/>
    <m/>
    <n v="161"/>
    <s v="Zunaid Islam"/>
    <n v="100"/>
    <s v="Tahmidul Islam"/>
    <n v="13137752598"/>
    <s v="Nahida Sultana"/>
    <n v="13133278899"/>
    <x v="1"/>
    <x v="3"/>
    <x v="3"/>
    <x v="1"/>
    <n v="10"/>
    <x v="1"/>
    <m/>
    <m/>
    <x v="0"/>
  </r>
  <r>
    <n v="5"/>
    <m/>
    <s v="3151 Donna Ave"/>
    <s v="Warren"/>
    <s v="MI"/>
    <n v="48091"/>
    <s v="nahidasultana91@gmail.com"/>
    <m/>
    <m/>
    <m/>
    <m/>
    <m/>
    <n v="162"/>
    <s v="Zaira Jannat"/>
    <n v="100"/>
    <s v="Tahmidul Islam"/>
    <n v="13137752598"/>
    <s v="Nahida Sultana"/>
    <n v="13133278899"/>
    <x v="0"/>
    <x v="3"/>
    <x v="3"/>
    <x v="1"/>
    <n v="14"/>
    <x v="1"/>
    <m/>
    <m/>
    <x v="0"/>
  </r>
  <r>
    <n v="5"/>
    <m/>
    <s v="3555 Chase Dr"/>
    <s v="Warren"/>
    <s v="MI"/>
    <n v="48091"/>
    <s v="jubel87@hotmail.com"/>
    <m/>
    <m/>
    <m/>
    <m/>
    <m/>
    <n v="163"/>
    <s v="Aleem Aqsa Hyat"/>
    <n v="101"/>
    <s v="Jubel Ahmed"/>
    <n v="13136031250"/>
    <s v="Tasnim Khanam"/>
    <m/>
    <x v="0"/>
    <x v="3"/>
    <x v="0"/>
    <x v="0"/>
    <m/>
    <x v="1"/>
    <m/>
    <m/>
    <x v="1"/>
  </r>
  <r>
    <n v="7"/>
    <s v="Sifara"/>
    <s v="137633 Greg Ave"/>
    <s v="Warren"/>
    <s v="MI"/>
    <n v="48089"/>
    <m/>
    <m/>
    <m/>
    <m/>
    <m/>
    <m/>
    <n v="164"/>
    <s v="Emaaz Tahir"/>
    <n v="102"/>
    <s v="Mohammad Tahir"/>
    <n v="12483618881"/>
    <s v="na"/>
    <m/>
    <x v="1"/>
    <x v="0"/>
    <x v="6"/>
    <x v="1"/>
    <n v="3"/>
    <x v="1"/>
    <m/>
    <m/>
    <x v="0"/>
  </r>
  <r>
    <n v="5"/>
    <m/>
    <s v="137633 Greg Ave"/>
    <s v="Warren"/>
    <s v="MI"/>
    <n v="48089"/>
    <m/>
    <m/>
    <m/>
    <m/>
    <m/>
    <m/>
    <n v="165"/>
    <s v="Zeemal Tahir"/>
    <n v="102"/>
    <s v="Mohammad Tahir"/>
    <n v="12483618881"/>
    <s v="na"/>
    <m/>
    <x v="0"/>
    <x v="0"/>
    <x v="3"/>
    <x v="1"/>
    <n v="15"/>
    <x v="1"/>
    <m/>
    <m/>
    <x v="0"/>
  </r>
  <r>
    <n v="9"/>
    <m/>
    <s v="3905 Poplar"/>
    <s v="Warren"/>
    <s v="MI"/>
    <n v="48091"/>
    <m/>
    <m/>
    <m/>
    <m/>
    <m/>
    <m/>
    <n v="166"/>
    <s v="Ali Ahmed"/>
    <n v="103"/>
    <s v="Mohd Ali Akbor"/>
    <n v="13134552075"/>
    <s v="Mst. Rina Akther"/>
    <n v="13135199772"/>
    <x v="1"/>
    <x v="2"/>
    <x v="0"/>
    <x v="0"/>
    <m/>
    <x v="1"/>
    <m/>
    <m/>
    <x v="1"/>
  </r>
  <r>
    <n v="7"/>
    <m/>
    <s v="3905 Poplar"/>
    <s v="Warren"/>
    <s v="MI"/>
    <n v="48091"/>
    <m/>
    <m/>
    <m/>
    <m/>
    <m/>
    <m/>
    <n v="167"/>
    <s v="Adiba Waheed Ahmed"/>
    <n v="103"/>
    <s v="Mohd Ali Akbor"/>
    <n v="13134552075"/>
    <s v="Mst. Rina Akther"/>
    <n v="13135199772"/>
    <x v="0"/>
    <x v="3"/>
    <x v="0"/>
    <x v="0"/>
    <m/>
    <x v="1"/>
    <m/>
    <m/>
    <x v="1"/>
  </r>
  <r>
    <n v="6"/>
    <m/>
    <s v="3896 Poplar Ave"/>
    <s v="Warren"/>
    <s v="MI"/>
    <n v="48091"/>
    <m/>
    <m/>
    <m/>
    <m/>
    <m/>
    <m/>
    <n v="168"/>
    <s v="Maimuna Chowdhury"/>
    <n v="104"/>
    <s v="Mahad Chowdhury"/>
    <n v="15863446249"/>
    <s v="Taslima Begum"/>
    <m/>
    <x v="0"/>
    <x v="3"/>
    <x v="0"/>
    <x v="0"/>
    <m/>
    <x v="1"/>
    <m/>
    <m/>
    <x v="1"/>
  </r>
  <r>
    <n v="6"/>
    <n v="1"/>
    <s v="27316 Virginia Dr"/>
    <s v="Warren"/>
    <s v="MI"/>
    <n v="48092"/>
    <m/>
    <m/>
    <m/>
    <m/>
    <m/>
    <m/>
    <n v="169"/>
    <s v="Saibah Miah"/>
    <n v="105"/>
    <s v="Walid Miah"/>
    <n v="13476538722"/>
    <s v="Nahida Ali"/>
    <m/>
    <x v="0"/>
    <x v="5"/>
    <x v="0"/>
    <x v="0"/>
    <m/>
    <x v="0"/>
    <n v="8"/>
    <m/>
    <x v="0"/>
  </r>
  <r>
    <n v="5"/>
    <m/>
    <s v="23340 Curie St"/>
    <s v="Warren"/>
    <s v="MI"/>
    <n v="48091"/>
    <s v="faheedmatin@gmail.com"/>
    <m/>
    <m/>
    <m/>
    <m/>
    <m/>
    <n v="170"/>
    <s v="Hammad Yameen"/>
    <n v="106"/>
    <s v="Faheed Matin"/>
    <n v="13472782116"/>
    <s v="Mahfusa Hoque Lubna"/>
    <n v="13136616802"/>
    <x v="1"/>
    <x v="3"/>
    <x v="0"/>
    <x v="0"/>
    <m/>
    <x v="1"/>
    <m/>
    <m/>
    <x v="1"/>
  </r>
  <r>
    <n v="7"/>
    <m/>
    <s v="25723 Masch Ave"/>
    <s v="Warren"/>
    <s v="MI"/>
    <n v="48091"/>
    <s v="shuaib4248@gmail.com"/>
    <m/>
    <m/>
    <m/>
    <m/>
    <m/>
    <n v="171"/>
    <s v="Shuaib Islam"/>
    <n v="107"/>
    <s v="Shaiful Islam"/>
    <n v="13137238562"/>
    <s v="Shamina Akther"/>
    <n v="13133123790"/>
    <x v="1"/>
    <x v="0"/>
    <x v="0"/>
    <x v="0"/>
    <m/>
    <x v="1"/>
    <m/>
    <m/>
    <x v="1"/>
  </r>
  <r>
    <n v="5"/>
    <m/>
    <s v="25723 Masch Ave"/>
    <s v="Warren"/>
    <s v="MI"/>
    <n v="48091"/>
    <s v="shuaib4248@gmail.com"/>
    <m/>
    <m/>
    <m/>
    <m/>
    <m/>
    <n v="172"/>
    <s v="Aman Islam"/>
    <n v="107"/>
    <s v="Shaiful Islam"/>
    <n v="13137238562"/>
    <s v="Shamina Akther"/>
    <n v="13133123790"/>
    <x v="1"/>
    <x v="0"/>
    <x v="0"/>
    <x v="0"/>
    <m/>
    <x v="1"/>
    <m/>
    <m/>
    <x v="1"/>
  </r>
  <r>
    <m/>
    <m/>
    <s v="1606 Fountain Ave Madison Heights"/>
    <s v="Warren"/>
    <s v="MI"/>
    <n v="48071"/>
    <m/>
    <s v="REF Abdul Basit Chy"/>
    <m/>
    <m/>
    <m/>
    <m/>
    <n v="173"/>
    <s v="Wahidul Islam"/>
    <n v="108"/>
    <s v="Mohd. Nurul Islam"/>
    <n v="13133661523"/>
    <s v="na"/>
    <m/>
    <x v="1"/>
    <x v="0"/>
    <x v="0"/>
    <x v="0"/>
    <m/>
    <x v="1"/>
    <m/>
    <m/>
    <x v="1"/>
  </r>
  <r>
    <m/>
    <m/>
    <s v="1606 Fountain Ave Madison Heights"/>
    <s v="Warren"/>
    <s v="MI"/>
    <n v="48071"/>
    <m/>
    <s v="REF Abdul Basit Chy"/>
    <m/>
    <m/>
    <m/>
    <m/>
    <n v="174"/>
    <s v="Mahidul Islam"/>
    <n v="108"/>
    <s v="Mohd. Nurul Islam"/>
    <n v="13133661523"/>
    <s v="na"/>
    <m/>
    <x v="1"/>
    <x v="0"/>
    <x v="0"/>
    <x v="0"/>
    <m/>
    <x v="1"/>
    <m/>
    <m/>
    <x v="1"/>
  </r>
  <r>
    <m/>
    <m/>
    <s v="1606 Fountain Ave Madison Heights"/>
    <s v="Warren"/>
    <s v="MI"/>
    <n v="48071"/>
    <m/>
    <s v="REF Abdul Basit Chy"/>
    <m/>
    <m/>
    <m/>
    <m/>
    <n v="175"/>
    <s v="Shayma Islam"/>
    <n v="108"/>
    <s v="Mohd. Nurul Islam"/>
    <n v="13133661523"/>
    <s v="na"/>
    <m/>
    <x v="0"/>
    <x v="0"/>
    <x v="3"/>
    <x v="1"/>
    <n v="11"/>
    <x v="1"/>
    <m/>
    <m/>
    <x v="0"/>
  </r>
  <r>
    <n v="6"/>
    <m/>
    <s v="4517 Fenwick Dr"/>
    <s v="Warren"/>
    <s v="MI"/>
    <n v="48092"/>
    <m/>
    <m/>
    <m/>
    <m/>
    <m/>
    <m/>
    <n v="176"/>
    <s v="Samara Hussain"/>
    <n v="109"/>
    <s v="Syed Hussain"/>
    <n v="13474930271"/>
    <s v="Saida Chowdhury"/>
    <n v="13475384230"/>
    <x v="0"/>
    <x v="0"/>
    <x v="5"/>
    <x v="1"/>
    <n v="11"/>
    <x v="1"/>
    <m/>
    <m/>
    <x v="0"/>
  </r>
  <r>
    <n v="5"/>
    <s v="Qaida"/>
    <s v="4517 Fenwick Dr"/>
    <s v="Warren"/>
    <s v="MI"/>
    <n v="48092"/>
    <m/>
    <m/>
    <m/>
    <m/>
    <m/>
    <m/>
    <n v="177"/>
    <s v="Asim Hussain Syed"/>
    <n v="109"/>
    <s v="Syed Hussain"/>
    <n v="13474930271"/>
    <s v="Saida Chowdhury"/>
    <n v="13475384230"/>
    <x v="1"/>
    <x v="0"/>
    <x v="6"/>
    <x v="1"/>
    <n v="2"/>
    <x v="1"/>
    <m/>
    <m/>
    <x v="0"/>
  </r>
  <r>
    <n v="7"/>
    <s v="Qaida"/>
    <s v="4308 Linville Dr"/>
    <s v="Warren"/>
    <s v="MI"/>
    <n v="48092"/>
    <m/>
    <m/>
    <m/>
    <m/>
    <m/>
    <m/>
    <n v="178"/>
    <s v="Sulaiman Ahmed"/>
    <n v="110"/>
    <s v="Ifjal Ahmed"/>
    <n v="15864986375"/>
    <s v="Jannatul Ferdous"/>
    <m/>
    <x v="1"/>
    <x v="2"/>
    <x v="6"/>
    <x v="1"/>
    <n v="11"/>
    <x v="1"/>
    <m/>
    <m/>
    <x v="0"/>
  </r>
  <r>
    <n v="6"/>
    <n v="1"/>
    <s v="244972 Hill Ave"/>
    <s v="Warren"/>
    <s v="MI"/>
    <n v="48091"/>
    <m/>
    <m/>
    <m/>
    <m/>
    <m/>
    <m/>
    <n v="179"/>
    <s v="Ayaan Rahman"/>
    <n v="111"/>
    <s v="Rah Rahman"/>
    <n v="15715240210"/>
    <s v="Fhateha Sumi"/>
    <n v="15867465650"/>
    <x v="1"/>
    <x v="5"/>
    <x v="0"/>
    <x v="0"/>
    <m/>
    <x v="0"/>
    <n v="2"/>
    <m/>
    <x v="0"/>
  </r>
  <r>
    <m/>
    <m/>
    <s v="5008 Renshaw Dr"/>
    <s v="Troy"/>
    <s v="MI"/>
    <n v="48085"/>
    <m/>
    <m/>
    <m/>
    <m/>
    <m/>
    <m/>
    <n v="180"/>
    <s v="Maria Rwaida Rahman"/>
    <n v="112"/>
    <s v="Mohammed Ataur Rahman"/>
    <n v="13134454178"/>
    <s v="Moroyam Fateha Rahman"/>
    <m/>
    <x v="0"/>
    <x v="6"/>
    <x v="0"/>
    <x v="0"/>
    <m/>
    <x v="1"/>
    <m/>
    <m/>
    <x v="1"/>
  </r>
  <r>
    <n v="9"/>
    <m/>
    <s v="26141 Cunningham Dr"/>
    <s v="Warren"/>
    <s v="MI"/>
    <n v="48091"/>
    <m/>
    <m/>
    <m/>
    <m/>
    <m/>
    <m/>
    <n v="181"/>
    <s v="Yousuf Abdullah"/>
    <n v="113"/>
    <s v="Shamsul Islam"/>
    <n v="15867654985"/>
    <s v="Tahera Rimu"/>
    <n v="13132581688"/>
    <x v="1"/>
    <x v="2"/>
    <x v="0"/>
    <x v="0"/>
    <m/>
    <x v="1"/>
    <m/>
    <m/>
    <x v="1"/>
  </r>
  <r>
    <n v="8"/>
    <n v="2"/>
    <s v="3835 Madox Dr"/>
    <s v="Warren"/>
    <s v="MI"/>
    <n v="48092"/>
    <m/>
    <m/>
    <m/>
    <m/>
    <m/>
    <m/>
    <n v="182"/>
    <s v="Aaryan Razzak"/>
    <n v="114"/>
    <s v="MD Abdur Razzak"/>
    <n v="13134550452"/>
    <s v="Shahina Razzak"/>
    <n v="13137079294"/>
    <x v="1"/>
    <x v="2"/>
    <x v="6"/>
    <x v="0"/>
    <m/>
    <x v="0"/>
    <n v="50"/>
    <m/>
    <x v="0"/>
  </r>
  <r>
    <n v="9"/>
    <s v="Qaida"/>
    <s v="25571 Curie Ave"/>
    <s v="Warren"/>
    <s v="MI"/>
    <n v="48091"/>
    <s v="uddinzakir21@gmail.com"/>
    <m/>
    <m/>
    <m/>
    <m/>
    <m/>
    <n v="183"/>
    <s v="Mohammed Zihad Uddin"/>
    <n v="115"/>
    <s v="Mohammed Zakir Uddin"/>
    <n v="13134558580"/>
    <s v="Rebeka Begum"/>
    <m/>
    <x v="1"/>
    <x v="2"/>
    <x v="0"/>
    <x v="0"/>
    <m/>
    <x v="1"/>
    <m/>
    <m/>
    <x v="1"/>
  </r>
  <r>
    <n v="15"/>
    <m/>
    <s v="3158 Dallas Ave"/>
    <s v="Warren"/>
    <s v="MI"/>
    <n v="48091"/>
    <m/>
    <m/>
    <m/>
    <m/>
    <m/>
    <m/>
    <n v="184"/>
    <s v="Yahya Zakariya Alhariri"/>
    <n v="116"/>
    <s v="Zakariya Alhariri"/>
    <n v="18103990007"/>
    <s v="Ghazal Alhariri"/>
    <n v="13134457364"/>
    <x v="1"/>
    <x v="11"/>
    <x v="0"/>
    <x v="0"/>
    <m/>
    <x v="1"/>
    <m/>
    <m/>
    <x v="1"/>
  </r>
  <r>
    <n v="7"/>
    <m/>
    <s v="3158 Dallas Ave"/>
    <s v="Warren"/>
    <s v="MI"/>
    <n v="48091"/>
    <m/>
    <m/>
    <m/>
    <m/>
    <m/>
    <m/>
    <n v="185"/>
    <s v="Noah Zakariya Alhariri"/>
    <n v="116"/>
    <s v="Zakariya Alhariri"/>
    <n v="18103990007"/>
    <s v="Ghazal Alhariri"/>
    <n v="13134457364"/>
    <x v="1"/>
    <x v="7"/>
    <x v="0"/>
    <x v="0"/>
    <m/>
    <x v="1"/>
    <m/>
    <m/>
    <x v="1"/>
  </r>
  <r>
    <n v="16"/>
    <m/>
    <s v="3158 Dallas Ave"/>
    <s v="Warren"/>
    <s v="MI"/>
    <n v="48091"/>
    <m/>
    <m/>
    <m/>
    <m/>
    <m/>
    <m/>
    <n v="186"/>
    <s v="Baraah Zakariya Alhariri"/>
    <n v="116"/>
    <s v="Zakariya Alhariri"/>
    <n v="18103990007"/>
    <s v="Ghazal Alhariri"/>
    <n v="13134457364"/>
    <x v="0"/>
    <x v="11"/>
    <x v="0"/>
    <x v="0"/>
    <m/>
    <x v="1"/>
    <m/>
    <m/>
    <x v="1"/>
  </r>
  <r>
    <n v="13"/>
    <m/>
    <s v="3158 Dallas Ave"/>
    <s v="Warren"/>
    <s v="MI"/>
    <n v="48091"/>
    <m/>
    <m/>
    <m/>
    <m/>
    <m/>
    <m/>
    <n v="187"/>
    <s v="Maymonah Zakariya Alhariri"/>
    <n v="116"/>
    <s v="Zakariya Alhariri"/>
    <n v="18103990007"/>
    <s v="Ghazal Alhariri"/>
    <n v="13134457364"/>
    <x v="0"/>
    <x v="8"/>
    <x v="0"/>
    <x v="0"/>
    <m/>
    <x v="1"/>
    <m/>
    <m/>
    <x v="1"/>
  </r>
  <r>
    <n v="13"/>
    <s v="Hifz"/>
    <s v="24359 Loretta Ave"/>
    <s v="Warren"/>
    <s v="MI"/>
    <n v="48091"/>
    <m/>
    <m/>
    <m/>
    <m/>
    <m/>
    <m/>
    <n v="188"/>
    <s v="Abu Thihamin"/>
    <n v="117"/>
    <s v="Athiqur Rahman"/>
    <n v="13133277472"/>
    <s v="Parvin Akhter"/>
    <m/>
    <x v="1"/>
    <x v="10"/>
    <x v="1"/>
    <x v="1"/>
    <n v="1"/>
    <x v="1"/>
    <m/>
    <m/>
    <x v="0"/>
  </r>
  <r>
    <n v="6"/>
    <m/>
    <s v="2440 Common Rd"/>
    <s v="Warren"/>
    <s v="MI"/>
    <n v="48092"/>
    <m/>
    <m/>
    <m/>
    <m/>
    <m/>
    <m/>
    <n v="189"/>
    <s v="Tahdiya Chowdhury"/>
    <n v="118"/>
    <s v="Sajid Chowdhury"/>
    <n v="13134781410"/>
    <s v="Farhana Afrin"/>
    <n v="13136031877"/>
    <x v="0"/>
    <x v="5"/>
    <x v="6"/>
    <x v="1"/>
    <n v="7"/>
    <x v="1"/>
    <m/>
    <m/>
    <x v="0"/>
  </r>
  <r>
    <n v="16"/>
    <m/>
    <s v="24136 Curie St"/>
    <s v="Warren"/>
    <s v="MI"/>
    <n v="48091"/>
    <m/>
    <m/>
    <m/>
    <m/>
    <m/>
    <m/>
    <n v="190"/>
    <s v="Arham Majumder"/>
    <n v="119"/>
    <s v="Mohammed Farid Majumder"/>
    <n v="15863546174"/>
    <s v="Shimu Akhter"/>
    <n v="15865191905"/>
    <x v="1"/>
    <x v="11"/>
    <x v="4"/>
    <x v="1"/>
    <n v="7"/>
    <x v="1"/>
    <m/>
    <m/>
    <x v="0"/>
  </r>
  <r>
    <n v="15"/>
    <m/>
    <s v="24136 Curie St"/>
    <s v="Warren"/>
    <s v="MI"/>
    <n v="48091"/>
    <m/>
    <m/>
    <m/>
    <m/>
    <m/>
    <m/>
    <n v="191"/>
    <s v="Araf Majumder"/>
    <n v="119"/>
    <s v="Mohammed Farid Majumder"/>
    <n v="15863546174"/>
    <s v="Shimu Akhter"/>
    <n v="15865191905"/>
    <x v="1"/>
    <x v="8"/>
    <x v="4"/>
    <x v="1"/>
    <n v="8"/>
    <x v="1"/>
    <m/>
    <m/>
    <x v="0"/>
  </r>
  <r>
    <n v="14"/>
    <m/>
    <s v="24136 Curie St"/>
    <s v="Warren"/>
    <s v="MI"/>
    <n v="48091"/>
    <m/>
    <m/>
    <m/>
    <m/>
    <m/>
    <m/>
    <n v="192"/>
    <s v="Arisha Majumder"/>
    <n v="119"/>
    <s v="Mohammed Farid Majumder"/>
    <n v="15863546174"/>
    <s v="Shimu Akhter"/>
    <n v="15865191905"/>
    <x v="0"/>
    <x v="10"/>
    <x v="1"/>
    <x v="1"/>
    <n v="3"/>
    <x v="1"/>
    <m/>
    <m/>
    <x v="0"/>
  </r>
  <r>
    <n v="10"/>
    <n v="2"/>
    <s v="4825 E 10 Mile Rd APT 228"/>
    <s v="Warren"/>
    <s v="MI"/>
    <n v="48091"/>
    <m/>
    <m/>
    <m/>
    <m/>
    <m/>
    <m/>
    <n v="193"/>
    <s v="Sayhan Husen"/>
    <n v="120"/>
    <s v="Mohd Ali Husen"/>
    <n v="19292718114"/>
    <s v="Rifat Sultana"/>
    <n v="15864578683"/>
    <x v="1"/>
    <x v="6"/>
    <x v="4"/>
    <x v="1"/>
    <n v="9"/>
    <x v="0"/>
    <n v="12"/>
    <m/>
    <x v="0"/>
  </r>
  <r>
    <n v="8"/>
    <n v="3"/>
    <s v="4825 E 10 Mile Rd APT 228"/>
    <s v="Warren"/>
    <s v="MI"/>
    <n v="48091"/>
    <m/>
    <m/>
    <m/>
    <m/>
    <m/>
    <m/>
    <n v="194"/>
    <s v="Rubaiba Bint Ali"/>
    <n v="120"/>
    <s v="Mohd Ali Husen"/>
    <n v="19292718114"/>
    <s v="Rifat Sultana"/>
    <n v="15864578683"/>
    <x v="0"/>
    <x v="4"/>
    <x v="1"/>
    <x v="1"/>
    <n v="9"/>
    <x v="0"/>
    <n v="14"/>
    <m/>
    <x v="0"/>
  </r>
  <r>
    <n v="10"/>
    <m/>
    <s v="18785 Rockwell St, Macomb"/>
    <s v="Warren"/>
    <s v="MI"/>
    <n v="48042"/>
    <m/>
    <m/>
    <m/>
    <m/>
    <m/>
    <m/>
    <n v="195"/>
    <s v="Shayaan Rahman"/>
    <n v="121"/>
    <s v="Akhlasur Rahman"/>
    <n v="12488548225"/>
    <s v="Tahmina Chowdhury"/>
    <n v="12482501148"/>
    <x v="1"/>
    <x v="0"/>
    <x v="0"/>
    <x v="0"/>
    <m/>
    <x v="1"/>
    <m/>
    <m/>
    <x v="1"/>
  </r>
  <r>
    <n v="10"/>
    <m/>
    <s v="4321 Bonning Ave"/>
    <s v="Warren"/>
    <s v="MI"/>
    <n v="48091"/>
    <m/>
    <m/>
    <m/>
    <m/>
    <m/>
    <m/>
    <n v="196"/>
    <s v="Janzabil Rashid"/>
    <n v="122"/>
    <s v="Rashidul Lablu"/>
    <n v="19734139701"/>
    <s v="Rima Begum Chowdhury"/>
    <n v="15862803443"/>
    <x v="1"/>
    <x v="1"/>
    <x v="0"/>
    <x v="0"/>
    <m/>
    <x v="1"/>
    <m/>
    <m/>
    <x v="1"/>
  </r>
  <r>
    <n v="14"/>
    <m/>
    <s v="4550 Frazho Rd"/>
    <s v="Warren"/>
    <s v="MI"/>
    <n v="48091"/>
    <m/>
    <m/>
    <m/>
    <m/>
    <m/>
    <m/>
    <n v="197"/>
    <s v="Najifa Suayeb"/>
    <n v="123"/>
    <s v="Mohammed Suayeb"/>
    <n v="13136031402"/>
    <s v="Fateha Begum"/>
    <m/>
    <x v="0"/>
    <x v="0"/>
    <x v="0"/>
    <x v="0"/>
    <m/>
    <x v="1"/>
    <m/>
    <m/>
    <x v="1"/>
  </r>
  <r>
    <n v="11"/>
    <m/>
    <s v="22578 Logue Ave"/>
    <s v="Warren"/>
    <s v="MI"/>
    <n v="48091"/>
    <m/>
    <m/>
    <m/>
    <m/>
    <m/>
    <m/>
    <n v="198"/>
    <s v="Mohammed Miah"/>
    <n v="124"/>
    <s v="MD Khadir Miah"/>
    <n v="13134089019"/>
    <s v="Lema Begum"/>
    <n v="13137822835"/>
    <x v="1"/>
    <x v="6"/>
    <x v="4"/>
    <x v="1"/>
    <n v="10"/>
    <x v="1"/>
    <m/>
    <m/>
    <x v="0"/>
  </r>
  <r>
    <n v="6"/>
    <m/>
    <s v="22578 Logue Ave"/>
    <s v="Warren"/>
    <s v="MI"/>
    <n v="48091"/>
    <m/>
    <m/>
    <m/>
    <m/>
    <m/>
    <m/>
    <n v="199"/>
    <s v="Taiba Zoey"/>
    <n v="124"/>
    <s v="MD Khadir Miah"/>
    <n v="13134089019"/>
    <s v="Lema Begum"/>
    <n v="13137822835"/>
    <x v="0"/>
    <x v="7"/>
    <x v="6"/>
    <x v="1"/>
    <n v="6"/>
    <x v="1"/>
    <m/>
    <m/>
    <x v="0"/>
  </r>
  <r>
    <n v="7"/>
    <m/>
    <s v="2609 Antaria Lane"/>
    <s v="Warren"/>
    <s v="MI"/>
    <n v="48091"/>
    <m/>
    <m/>
    <m/>
    <m/>
    <m/>
    <m/>
    <n v="200"/>
    <s v="Iffat Ahmed"/>
    <n v="125"/>
    <s v="Shabbir Ahmed"/>
    <n v="13136039528"/>
    <s v="Tahera Begum"/>
    <m/>
    <x v="0"/>
    <x v="7"/>
    <x v="2"/>
    <x v="1"/>
    <n v="3"/>
    <x v="1"/>
    <m/>
    <m/>
    <x v="0"/>
  </r>
  <r>
    <n v="13"/>
    <m/>
    <s v="49558 Bloomsbury Ln, Maccomb"/>
    <s v="Warren"/>
    <s v="MI"/>
    <n v="48044"/>
    <m/>
    <m/>
    <m/>
    <m/>
    <m/>
    <m/>
    <n v="201"/>
    <s v="Rahilur Rahman"/>
    <n v="126"/>
    <s v="Waheedur Rahman"/>
    <n v="13134851822"/>
    <s v="Ruzi Begum"/>
    <m/>
    <x v="1"/>
    <x v="10"/>
    <x v="0"/>
    <x v="0"/>
    <m/>
    <x v="1"/>
    <m/>
    <m/>
    <x v="1"/>
  </r>
  <r>
    <n v="12"/>
    <m/>
    <s v="25431 Patricia Ave"/>
    <s v="Warren"/>
    <s v="MI"/>
    <n v="48091"/>
    <m/>
    <m/>
    <m/>
    <m/>
    <m/>
    <m/>
    <n v="202"/>
    <s v="Faizah Ahmed"/>
    <n v="127"/>
    <s v="Saleh Ahmed"/>
    <n v="12487217664"/>
    <s v="Sunara Khatun"/>
    <n v="13132811809"/>
    <x v="0"/>
    <x v="9"/>
    <x v="0"/>
    <x v="0"/>
    <m/>
    <x v="1"/>
    <m/>
    <m/>
    <x v="1"/>
  </r>
  <r>
    <n v="7"/>
    <m/>
    <s v="11694 Eldorado Dr"/>
    <s v="Sterling Heights"/>
    <s v="MI"/>
    <n v="48312"/>
    <m/>
    <m/>
    <m/>
    <m/>
    <m/>
    <m/>
    <n v="203"/>
    <s v="Irha Ahmed"/>
    <n v="128"/>
    <s v="Rejwan Ahmed"/>
    <n v="13134828053"/>
    <s v="Firuza Ahmed"/>
    <m/>
    <x v="0"/>
    <x v="7"/>
    <x v="0"/>
    <x v="0"/>
    <m/>
    <x v="1"/>
    <m/>
    <m/>
    <x v="1"/>
  </r>
  <r>
    <n v="6"/>
    <m/>
    <s v="11694 Eldorado Dr"/>
    <s v="Sterling Heights"/>
    <s v="MI"/>
    <n v="48312"/>
    <m/>
    <m/>
    <m/>
    <m/>
    <m/>
    <m/>
    <n v="204"/>
    <s v="Arham Ahmed"/>
    <n v="128"/>
    <s v="Rejwan Ahmed"/>
    <n v="13134828053"/>
    <s v="Firuza Ahmed"/>
    <m/>
    <x v="1"/>
    <x v="3"/>
    <x v="0"/>
    <x v="0"/>
    <m/>
    <x v="1"/>
    <m/>
    <m/>
    <x v="1"/>
  </r>
  <r>
    <n v="15"/>
    <m/>
    <s v="2400 East Maple Rd"/>
    <s v="Troy"/>
    <s v="MI"/>
    <n v="48083"/>
    <m/>
    <m/>
    <m/>
    <m/>
    <m/>
    <m/>
    <n v="205"/>
    <s v="Saeed Rahman"/>
    <n v="129"/>
    <s v="Abdur Rahman"/>
    <n v="13139148195"/>
    <s v="Shireen Akter"/>
    <n v="13132850939"/>
    <x v="1"/>
    <x v="12"/>
    <x v="4"/>
    <x v="1"/>
    <n v="11"/>
    <x v="1"/>
    <m/>
    <m/>
    <x v="0"/>
  </r>
  <r>
    <n v="13"/>
    <s v="Hifz"/>
    <s v="2400 East Maple Rd"/>
    <s v="Troy"/>
    <s v="MI"/>
    <n v="48083"/>
    <m/>
    <m/>
    <m/>
    <m/>
    <m/>
    <m/>
    <n v="206"/>
    <s v="Shajidur Rahman"/>
    <n v="129"/>
    <s v="Abdur Rahman"/>
    <n v="13139148195"/>
    <s v="Shireen Akter"/>
    <n v="13132850939"/>
    <x v="1"/>
    <x v="10"/>
    <x v="1"/>
    <x v="1"/>
    <n v="12"/>
    <x v="1"/>
    <m/>
    <m/>
    <x v="0"/>
  </r>
  <r>
    <n v="13"/>
    <m/>
    <s v="4828 Iowa Dr"/>
    <s v="Warren"/>
    <s v="MI"/>
    <n v="48092"/>
    <m/>
    <m/>
    <m/>
    <m/>
    <m/>
    <m/>
    <n v="207"/>
    <s v="Sabiha Rahman"/>
    <n v="130"/>
    <s v="Waliur Rahman"/>
    <n v="15864195982"/>
    <s v="Shafia Rahman"/>
    <m/>
    <x v="0"/>
    <x v="10"/>
    <x v="4"/>
    <x v="1"/>
    <n v="11"/>
    <x v="1"/>
    <m/>
    <m/>
    <x v="0"/>
  </r>
  <r>
    <n v="11"/>
    <m/>
    <s v="4828 Iowa Dr"/>
    <s v="Warren"/>
    <s v="MI"/>
    <n v="48092"/>
    <m/>
    <m/>
    <m/>
    <m/>
    <m/>
    <m/>
    <n v="208"/>
    <s v="Sabirah Rahman"/>
    <n v="130"/>
    <s v="Waliur Rahman"/>
    <n v="15864195982"/>
    <s v="Shafia Rahman"/>
    <m/>
    <x v="0"/>
    <x v="6"/>
    <x v="4"/>
    <x v="1"/>
    <n v="12"/>
    <x v="1"/>
    <m/>
    <m/>
    <x v="0"/>
  </r>
  <r>
    <n v="14"/>
    <m/>
    <s v="23243 Masch Ave"/>
    <s v="Warren"/>
    <s v="MI"/>
    <n v="48091"/>
    <m/>
    <m/>
    <m/>
    <m/>
    <m/>
    <m/>
    <n v="209"/>
    <s v="Ummayah Luna"/>
    <n v="131"/>
    <s v="MD Nurul Amin"/>
    <n v="13134552807"/>
    <s v="Salma Momota"/>
    <n v="13133498343"/>
    <x v="0"/>
    <x v="8"/>
    <x v="4"/>
    <x v="1"/>
    <n v="15"/>
    <x v="1"/>
    <m/>
    <m/>
    <x v="0"/>
  </r>
  <r>
    <n v="7"/>
    <m/>
    <s v="38645 Woodmont Dr"/>
    <s v="Sterling Heights"/>
    <s v="MI"/>
    <n v="48310"/>
    <m/>
    <m/>
    <m/>
    <m/>
    <m/>
    <m/>
    <n v="210"/>
    <s v="Tasfia Hussain"/>
    <n v="132"/>
    <s v="Ahmed Khaled Hussain"/>
    <n v="15862443304"/>
    <s v="na"/>
    <m/>
    <x v="0"/>
    <x v="5"/>
    <x v="0"/>
    <x v="0"/>
    <m/>
    <x v="1"/>
    <m/>
    <m/>
    <x v="1"/>
  </r>
  <r>
    <n v="7"/>
    <m/>
    <s v="5025 Frazha Rd"/>
    <s v="Warren"/>
    <s v="MI"/>
    <n v="48091"/>
    <m/>
    <m/>
    <m/>
    <m/>
    <m/>
    <m/>
    <n v="211"/>
    <s v="Yahya Khan"/>
    <n v="133"/>
    <s v="Joynal A Khan"/>
    <n v="13132857651"/>
    <s v="Farhana Fahima"/>
    <n v="13137848189"/>
    <x v="1"/>
    <x v="5"/>
    <x v="3"/>
    <x v="1"/>
    <n v="9"/>
    <x v="1"/>
    <m/>
    <m/>
    <x v="0"/>
  </r>
  <r>
    <n v="14"/>
    <s v="Hifz"/>
    <s v="27511 Sylvan Ave"/>
    <s v="Warren"/>
    <s v="MI"/>
    <n v="48093"/>
    <m/>
    <m/>
    <m/>
    <m/>
    <m/>
    <m/>
    <n v="212"/>
    <s v="Nafim Ahmed"/>
    <n v="134"/>
    <s v="Mohammed Shuhel"/>
    <n v="13132402881"/>
    <s v="Afruza Uddin"/>
    <n v="15863547036"/>
    <x v="1"/>
    <x v="9"/>
    <x v="4"/>
    <x v="1"/>
    <n v="15"/>
    <x v="1"/>
    <m/>
    <m/>
    <x v="0"/>
  </r>
  <r>
    <n v="7"/>
    <m/>
    <s v="27511 Sylvan Ave"/>
    <s v="Warren"/>
    <s v="MI"/>
    <n v="48093"/>
    <m/>
    <m/>
    <m/>
    <m/>
    <m/>
    <m/>
    <n v="213"/>
    <s v="Samiha Ahmed"/>
    <n v="134"/>
    <s v="Mohammed Shuhel"/>
    <n v="13132402881"/>
    <s v="Afruza Uddin"/>
    <n v="15863547036"/>
    <x v="0"/>
    <x v="5"/>
    <x v="2"/>
    <x v="1"/>
    <n v="14"/>
    <x v="1"/>
    <m/>
    <m/>
    <x v="0"/>
  </r>
  <r>
    <n v="10"/>
    <m/>
    <s v="23210"/>
    <s v="Warren"/>
    <s v="MI"/>
    <n v="48091"/>
    <m/>
    <m/>
    <m/>
    <m/>
    <m/>
    <m/>
    <n v="214"/>
    <s v="Emrana Ahmed"/>
    <n v="135"/>
    <s v="Robel Ahmed"/>
    <n v="15862133720"/>
    <s v="Marzana Begum"/>
    <m/>
    <x v="0"/>
    <x v="0"/>
    <x v="0"/>
    <x v="0"/>
    <m/>
    <x v="1"/>
    <m/>
    <m/>
    <x v="1"/>
  </r>
  <r>
    <n v="7"/>
    <m/>
    <s v="23210"/>
    <s v="Warren"/>
    <s v="MI"/>
    <n v="48091"/>
    <m/>
    <m/>
    <m/>
    <m/>
    <m/>
    <m/>
    <n v="215"/>
    <s v="Maahin Ahmed"/>
    <n v="135"/>
    <s v="Robel Ahmed"/>
    <n v="15862133720"/>
    <s v="Marzana Begum"/>
    <m/>
    <x v="1"/>
    <x v="0"/>
    <x v="0"/>
    <x v="0"/>
    <m/>
    <x v="1"/>
    <m/>
    <m/>
    <x v="1"/>
  </r>
  <r>
    <n v="5"/>
    <m/>
    <s v="23210"/>
    <s v="Warren"/>
    <s v="MI"/>
    <n v="48091"/>
    <m/>
    <m/>
    <m/>
    <m/>
    <m/>
    <m/>
    <n v="216"/>
    <s v="Arafah Ahmed"/>
    <n v="135"/>
    <s v="Robel Ahmed"/>
    <n v="15862133720"/>
    <s v="Marzana Begum"/>
    <m/>
    <x v="0"/>
    <x v="0"/>
    <x v="0"/>
    <x v="0"/>
    <m/>
    <x v="1"/>
    <m/>
    <m/>
    <x v="1"/>
  </r>
  <r>
    <n v="9"/>
    <m/>
    <s v="2250 Geoffrey Dr"/>
    <s v="Warren"/>
    <s v="MI"/>
    <n v="48092"/>
    <m/>
    <m/>
    <m/>
    <m/>
    <m/>
    <m/>
    <n v="217"/>
    <s v="Yunus Rahman"/>
    <n v="136"/>
    <s v="Faizur Rahman"/>
    <n v="13135051957"/>
    <s v="Nargis Rahman"/>
    <n v="13134193395"/>
    <x v="1"/>
    <x v="1"/>
    <x v="4"/>
    <x v="1"/>
    <n v="12"/>
    <x v="1"/>
    <m/>
    <m/>
    <x v="0"/>
  </r>
  <r>
    <n v="12"/>
    <m/>
    <s v="2250 Geoffrey Dr"/>
    <s v="Warren"/>
    <s v="MI"/>
    <n v="48092"/>
    <m/>
    <m/>
    <m/>
    <m/>
    <m/>
    <m/>
    <n v="218"/>
    <s v="Radiya Rahman"/>
    <n v="136"/>
    <s v="Faizur Rahman"/>
    <n v="13135051957"/>
    <s v="Nargis Rahman"/>
    <n v="13134193395"/>
    <x v="0"/>
    <x v="10"/>
    <x v="4"/>
    <x v="1"/>
    <n v="10"/>
    <x v="1"/>
    <m/>
    <m/>
    <x v="0"/>
  </r>
  <r>
    <n v="13"/>
    <m/>
    <s v="3619 Otis Ave"/>
    <s v="Warren"/>
    <s v="MI"/>
    <n v="48091"/>
    <m/>
    <m/>
    <m/>
    <m/>
    <m/>
    <m/>
    <n v="219"/>
    <s v="Farmena Begum"/>
    <n v="137"/>
    <s v="(Late) Faruk Miah"/>
    <n v="15865778988"/>
    <s v="Nasima Begum"/>
    <m/>
    <x v="0"/>
    <x v="10"/>
    <x v="1"/>
    <x v="1"/>
    <n v="4"/>
    <x v="1"/>
    <m/>
    <m/>
    <x v="0"/>
  </r>
  <r>
    <n v="10"/>
    <m/>
    <s v="4977 Engleman Ave"/>
    <s v="Warren"/>
    <s v="MI"/>
    <n v="48091"/>
    <m/>
    <m/>
    <m/>
    <m/>
    <m/>
    <m/>
    <n v="220"/>
    <s v="Suhaila Islam Sabiha"/>
    <n v="138"/>
    <s v="Shafiqul Islam"/>
    <n v="13134558202"/>
    <s v="Bibi Hazara"/>
    <n v="15862424587"/>
    <x v="0"/>
    <x v="1"/>
    <x v="0"/>
    <x v="0"/>
    <m/>
    <x v="1"/>
    <m/>
    <m/>
    <x v="1"/>
  </r>
  <r>
    <n v="6"/>
    <m/>
    <s v="4977 Engleman Ave"/>
    <s v="Warren"/>
    <s v="MI"/>
    <n v="48091"/>
    <m/>
    <m/>
    <m/>
    <m/>
    <m/>
    <m/>
    <n v="221"/>
    <s v="Shabib Islam"/>
    <n v="138"/>
    <s v="Shafiqul Islam"/>
    <n v="13134558202"/>
    <s v="Bibi Hazara"/>
    <n v="15862424587"/>
    <x v="1"/>
    <x v="5"/>
    <x v="0"/>
    <x v="0"/>
    <m/>
    <x v="1"/>
    <m/>
    <m/>
    <x v="1"/>
  </r>
  <r>
    <n v="6"/>
    <m/>
    <s v="11538 Applewood Dr"/>
    <s v="Warren"/>
    <s v="MI"/>
    <n v="48093"/>
    <m/>
    <m/>
    <m/>
    <m/>
    <m/>
    <m/>
    <n v="222"/>
    <s v="Aleena Islam"/>
    <n v="139"/>
    <s v="Kamrul Islam"/>
    <n v="15864384211"/>
    <s v="Namena Momtaz"/>
    <m/>
    <x v="0"/>
    <x v="5"/>
    <x v="0"/>
    <x v="0"/>
    <m/>
    <x v="1"/>
    <m/>
    <m/>
    <x v="1"/>
  </r>
  <r>
    <n v="10"/>
    <m/>
    <s v="28027 Loretta Ave"/>
    <s v="Warren"/>
    <s v="MI"/>
    <n v="48092"/>
    <m/>
    <m/>
    <m/>
    <m/>
    <m/>
    <m/>
    <n v="223"/>
    <s v="Mahiya Islam"/>
    <n v="140"/>
    <s v="Zahirul Islam"/>
    <n v="12484796100"/>
    <s v="na"/>
    <n v="15864827551"/>
    <x v="0"/>
    <x v="0"/>
    <x v="1"/>
    <x v="1"/>
    <n v="8"/>
    <x v="1"/>
    <m/>
    <m/>
    <x v="0"/>
  </r>
  <r>
    <n v="8"/>
    <s v="Sifara"/>
    <s v="28027 Loretta Ave"/>
    <s v="Warren"/>
    <s v="MI"/>
    <n v="48092"/>
    <m/>
    <m/>
    <m/>
    <m/>
    <m/>
    <m/>
    <n v="224"/>
    <s v="Mahdi Islam"/>
    <n v="140"/>
    <s v="Zahirul Islam"/>
    <n v="12484796100"/>
    <s v="na"/>
    <n v="15864827551"/>
    <x v="1"/>
    <x v="4"/>
    <x v="6"/>
    <x v="1"/>
    <n v="8"/>
    <x v="1"/>
    <m/>
    <m/>
    <x v="0"/>
  </r>
  <r>
    <n v="12"/>
    <m/>
    <s v="24856 Blackmar Ave"/>
    <s v="Warren"/>
    <s v="MI"/>
    <n v="48091"/>
    <m/>
    <m/>
    <m/>
    <m/>
    <m/>
    <m/>
    <n v="225"/>
    <s v="Safwat Aman"/>
    <n v="141"/>
    <s v="Akthar Uzzaman"/>
    <n v="15867822718"/>
    <s v="Shahida Aktar"/>
    <n v="15867465650"/>
    <x v="1"/>
    <x v="10"/>
    <x v="0"/>
    <x v="0"/>
    <m/>
    <x v="1"/>
    <m/>
    <m/>
    <x v="1"/>
  </r>
  <r>
    <n v="11"/>
    <m/>
    <s v="25766 Lorettta Ave"/>
    <s v="Warren"/>
    <s v="MI"/>
    <n v="48091"/>
    <m/>
    <m/>
    <m/>
    <m/>
    <m/>
    <m/>
    <n v="226"/>
    <s v="Juwayriya Zahid"/>
    <n v="142"/>
    <s v="MD Zahidul Islam"/>
    <n v="15865715564"/>
    <s v="Pahima Akhter"/>
    <n v="15865715537"/>
    <x v="0"/>
    <x v="6"/>
    <x v="0"/>
    <x v="0"/>
    <m/>
    <x v="1"/>
    <m/>
    <m/>
    <x v="1"/>
  </r>
  <r>
    <n v="7"/>
    <m/>
    <s v="25766 Lorettta Ave"/>
    <s v="Warren"/>
    <s v="MI"/>
    <n v="48091"/>
    <m/>
    <m/>
    <m/>
    <m/>
    <m/>
    <m/>
    <n v="227"/>
    <s v="Zunariah Zahid"/>
    <n v="142"/>
    <s v="MD Zahidul Islam"/>
    <n v="15865715564"/>
    <s v="Pahima Akhter"/>
    <n v="15865715537"/>
    <x v="0"/>
    <x v="7"/>
    <x v="0"/>
    <x v="0"/>
    <m/>
    <x v="1"/>
    <m/>
    <m/>
    <x v="1"/>
  </r>
  <r>
    <n v="10"/>
    <m/>
    <s v="27585 Parkview Blvd"/>
    <s v="Warren"/>
    <s v="MI"/>
    <n v="48092"/>
    <m/>
    <m/>
    <m/>
    <m/>
    <m/>
    <m/>
    <n v="228"/>
    <s v="Aaron Hossain"/>
    <n v="143"/>
    <s v="Mohammad Hossain"/>
    <n v="13134232799"/>
    <s v="Shanaz Begum"/>
    <n v="13137320159"/>
    <x v="1"/>
    <x v="4"/>
    <x v="0"/>
    <x v="0"/>
    <m/>
    <x v="1"/>
    <m/>
    <m/>
    <x v="1"/>
  </r>
  <r>
    <n v="5"/>
    <m/>
    <s v="25015 Curie Ave, Apt 215"/>
    <s v="Warren"/>
    <s v="MI"/>
    <n v="48091"/>
    <m/>
    <m/>
    <m/>
    <m/>
    <m/>
    <m/>
    <n v="229"/>
    <s v="Jamila Islam"/>
    <n v="144"/>
    <s v="Shahidul Islam"/>
    <n v="13136030731"/>
    <s v="Yasmin Akter"/>
    <n v="13139855863"/>
    <x v="0"/>
    <x v="0"/>
    <x v="0"/>
    <x v="0"/>
    <m/>
    <x v="1"/>
    <m/>
    <m/>
    <x v="1"/>
  </r>
  <r>
    <n v="9"/>
    <m/>
    <s v="35022 Dearing Drive"/>
    <s v="Sterling Heights"/>
    <s v="MI"/>
    <n v="48312"/>
    <m/>
    <m/>
    <m/>
    <m/>
    <m/>
    <m/>
    <n v="230"/>
    <s v="Raiyaan Ahmed"/>
    <n v="145"/>
    <s v="Amzal Ahmed"/>
    <n v="19176508435"/>
    <s v="Hajera Kabir"/>
    <m/>
    <x v="1"/>
    <x v="4"/>
    <x v="0"/>
    <x v="0"/>
    <m/>
    <x v="1"/>
    <m/>
    <m/>
    <x v="1"/>
  </r>
  <r>
    <n v="7"/>
    <s v="Sifara"/>
    <s v="35022 Dearing Drive"/>
    <s v="Sterling Heights"/>
    <s v="MI"/>
    <n v="48312"/>
    <m/>
    <m/>
    <m/>
    <m/>
    <m/>
    <m/>
    <n v="231"/>
    <s v="Aaraf Ahmed"/>
    <n v="145"/>
    <s v="Amzal Ahmed"/>
    <n v="19176508435"/>
    <s v="Hajera Kabir"/>
    <m/>
    <x v="1"/>
    <x v="5"/>
    <x v="2"/>
    <x v="1"/>
    <n v="1"/>
    <x v="1"/>
    <m/>
    <m/>
    <x v="0"/>
  </r>
  <r>
    <n v="11"/>
    <m/>
    <s v="30822 Newport Dr"/>
    <s v="Warren"/>
    <s v="MI"/>
    <n v="48066"/>
    <m/>
    <m/>
    <m/>
    <m/>
    <m/>
    <m/>
    <n v="232"/>
    <s v="Madeha Siraji"/>
    <n v="146"/>
    <s v="Kawsar Siraji"/>
    <n v="13132907309"/>
    <s v="Jaheda Begum"/>
    <n v="13132907309"/>
    <x v="0"/>
    <x v="0"/>
    <x v="0"/>
    <x v="0"/>
    <m/>
    <x v="1"/>
    <m/>
    <m/>
    <x v="1"/>
  </r>
  <r>
    <n v="7"/>
    <m/>
    <s v="30822 Newport Dr"/>
    <s v="Warren"/>
    <s v="MI"/>
    <n v="48066"/>
    <m/>
    <m/>
    <m/>
    <m/>
    <m/>
    <m/>
    <n v="233"/>
    <s v="Maher Siraji"/>
    <n v="146"/>
    <s v="Kawsar Siraji"/>
    <n v="13132907309"/>
    <s v="Jaheda Begum"/>
    <n v="13132907309"/>
    <x v="1"/>
    <x v="0"/>
    <x v="2"/>
    <x v="1"/>
    <n v="6"/>
    <x v="1"/>
    <m/>
    <m/>
    <x v="0"/>
  </r>
  <r>
    <n v="6"/>
    <m/>
    <s v="36819 Kyro Ct"/>
    <s v="Sterling Heights"/>
    <s v="MI"/>
    <n v="48310"/>
    <m/>
    <m/>
    <m/>
    <m/>
    <m/>
    <m/>
    <n v="234"/>
    <s v="Zahra Hussain"/>
    <n v="147"/>
    <s v="Ahmed Sowar Hussain"/>
    <n v="13134157094"/>
    <s v="Syeda Rahman"/>
    <n v="13134093101"/>
    <x v="0"/>
    <x v="5"/>
    <x v="0"/>
    <x v="0"/>
    <m/>
    <x v="1"/>
    <m/>
    <m/>
    <x v="1"/>
  </r>
  <r>
    <n v="13"/>
    <m/>
    <s v="13350 Yvonne Dr"/>
    <s v="Warren"/>
    <s v="MI"/>
    <n v="48088"/>
    <m/>
    <m/>
    <m/>
    <m/>
    <m/>
    <m/>
    <n v="235"/>
    <s v="Imran Aziz Adyan"/>
    <n v="148"/>
    <s v="Foysol Aziz"/>
    <n v="13138920384"/>
    <s v="Saheda Begum"/>
    <n v="15864824145"/>
    <x v="1"/>
    <x v="9"/>
    <x v="0"/>
    <x v="0"/>
    <m/>
    <x v="1"/>
    <m/>
    <m/>
    <x v="1"/>
  </r>
  <r>
    <n v="14"/>
    <s v="Hifz"/>
    <s v="26245 Thomas St"/>
    <s v="Warren"/>
    <s v="MI"/>
    <n v="48091"/>
    <m/>
    <m/>
    <m/>
    <m/>
    <m/>
    <m/>
    <n v="236"/>
    <s v="Armaan Syed"/>
    <n v="149"/>
    <s v="Shibbir Syed"/>
    <n v="15864893980"/>
    <s v="NA"/>
    <m/>
    <x v="1"/>
    <x v="8"/>
    <x v="1"/>
    <x v="1"/>
    <n v="4"/>
    <x v="1"/>
    <m/>
    <m/>
    <x v="0"/>
  </r>
  <r>
    <n v="7"/>
    <s v="Qaida"/>
    <s v="26245 Thomas St"/>
    <s v="Warren"/>
    <s v="MI"/>
    <n v="48091"/>
    <m/>
    <m/>
    <m/>
    <m/>
    <m/>
    <m/>
    <n v="237"/>
    <s v="Rayaan Syed"/>
    <n v="149"/>
    <s v="Shibbir Syed"/>
    <n v="15864893980"/>
    <s v="NA"/>
    <m/>
    <x v="1"/>
    <x v="2"/>
    <x v="3"/>
    <x v="1"/>
    <n v="5"/>
    <x v="1"/>
    <m/>
    <m/>
    <x v="0"/>
  </r>
  <r>
    <n v="12"/>
    <s v="Hifz"/>
    <s v="8739 Lozier Avenue"/>
    <s v="Warren"/>
    <s v="MI"/>
    <n v="48089"/>
    <m/>
    <m/>
    <m/>
    <m/>
    <m/>
    <m/>
    <n v="238"/>
    <s v="Omar Muhammed Hashem"/>
    <n v="150"/>
    <s v="Mohammed Rohel Kabir"/>
    <n v="13132293340"/>
    <s v="Poppy Begum"/>
    <n v="15864387942"/>
    <x v="1"/>
    <x v="9"/>
    <x v="1"/>
    <x v="1"/>
    <n v="8"/>
    <x v="1"/>
    <m/>
    <m/>
    <x v="0"/>
  </r>
  <r>
    <n v="12"/>
    <n v="2"/>
    <s v="29456 Orvylle"/>
    <s v="Warren"/>
    <s v="MI"/>
    <n v="48092"/>
    <m/>
    <m/>
    <m/>
    <m/>
    <m/>
    <m/>
    <n v="239"/>
    <s v="Iffath Ahmed"/>
    <n v="151"/>
    <s v="Kabir Ahmed"/>
    <n v="13136030562"/>
    <s v="Forhana Ahmed"/>
    <n v="13136030562"/>
    <x v="1"/>
    <x v="6"/>
    <x v="2"/>
    <x v="1"/>
    <n v="16"/>
    <x v="0"/>
    <n v="4"/>
    <m/>
    <x v="0"/>
  </r>
  <r>
    <n v="5"/>
    <m/>
    <s v="34653 Amsterdam Dr"/>
    <s v="Sterling Heights"/>
    <s v="MI"/>
    <n v="48312"/>
    <m/>
    <m/>
    <m/>
    <m/>
    <m/>
    <m/>
    <n v="240"/>
    <s v="Nusaybah Ahmed"/>
    <n v="152"/>
    <s v="Ripon Ahmed"/>
    <n v="18478734447"/>
    <s v="Siddika Ahmed"/>
    <n v="13136766939"/>
    <x v="0"/>
    <x v="5"/>
    <x v="0"/>
    <x v="0"/>
    <m/>
    <x v="1"/>
    <m/>
    <m/>
    <x v="1"/>
  </r>
  <r>
    <n v="13"/>
    <m/>
    <s v="36738 Haverhill Dr"/>
    <s v="Warren"/>
    <s v="MI"/>
    <n v="48091"/>
    <m/>
    <m/>
    <m/>
    <m/>
    <m/>
    <m/>
    <n v="241"/>
    <s v="Nabiha Khalique"/>
    <n v="153"/>
    <s v="Mamun Khalique"/>
    <n v="13135228717"/>
    <s v="Habiba Khalique"/>
    <n v="15865653120"/>
    <x v="0"/>
    <x v="10"/>
    <x v="0"/>
    <x v="0"/>
    <m/>
    <x v="1"/>
    <m/>
    <m/>
    <x v="1"/>
  </r>
  <r>
    <n v="10"/>
    <m/>
    <s v="36738 Haverhill Dr"/>
    <s v="Warren"/>
    <s v="MI"/>
    <n v="48091"/>
    <m/>
    <m/>
    <m/>
    <m/>
    <m/>
    <m/>
    <n v="242"/>
    <s v="Saniyah Khalique"/>
    <n v="153"/>
    <s v="Mamun Khalique"/>
    <n v="13135228717"/>
    <s v="Habiba Khalique"/>
    <n v="15865653120"/>
    <x v="0"/>
    <x v="1"/>
    <x v="0"/>
    <x v="0"/>
    <m/>
    <x v="1"/>
    <m/>
    <m/>
    <x v="1"/>
  </r>
  <r>
    <n v="13"/>
    <m/>
    <s v="11665 Ebony Ct."/>
    <s v="Sterling Heights"/>
    <s v="MI"/>
    <n v="48312"/>
    <m/>
    <m/>
    <m/>
    <m/>
    <m/>
    <m/>
    <n v="243"/>
    <s v="Zainab Inaaya Aftab"/>
    <n v="154"/>
    <s v="Aftab Uddin"/>
    <n v="13136585957"/>
    <s v="Thamina Helly"/>
    <n v="13133989917"/>
    <x v="0"/>
    <x v="10"/>
    <x v="0"/>
    <x v="0"/>
    <m/>
    <x v="1"/>
    <m/>
    <m/>
    <x v="1"/>
  </r>
  <r>
    <n v="10"/>
    <m/>
    <s v="11665 Ebony Ct."/>
    <s v="Sterling Heights"/>
    <s v="MI"/>
    <n v="48312"/>
    <m/>
    <m/>
    <m/>
    <m/>
    <m/>
    <m/>
    <n v="244"/>
    <s v="Labib Aftab"/>
    <n v="154"/>
    <s v="Aftab Uddin"/>
    <n v="13136585957"/>
    <s v="Thamina Helly"/>
    <n v="13133989917"/>
    <x v="1"/>
    <x v="1"/>
    <x v="0"/>
    <x v="0"/>
    <m/>
    <x v="1"/>
    <m/>
    <m/>
    <x v="1"/>
  </r>
  <r>
    <n v="6"/>
    <m/>
    <s v="26738 Kelsey"/>
    <s v="Warren"/>
    <s v="MI"/>
    <n v="48091"/>
    <m/>
    <m/>
    <m/>
    <m/>
    <m/>
    <m/>
    <n v="245"/>
    <s v="Tasfia Jannat"/>
    <n v="155"/>
    <s v="MD Abdul Hakiem Khali Sadar"/>
    <n v="15862775882"/>
    <s v="Lutfa Tanjina"/>
    <m/>
    <x v="0"/>
    <x v="0"/>
    <x v="5"/>
    <x v="1"/>
    <n v="12"/>
    <x v="1"/>
    <m/>
    <m/>
    <x v="0"/>
  </r>
  <r>
    <n v="5"/>
    <m/>
    <s v="26738 Kelsey"/>
    <s v="Warren"/>
    <s v="MI"/>
    <n v="48091"/>
    <m/>
    <m/>
    <m/>
    <m/>
    <m/>
    <m/>
    <n v="246"/>
    <s v="Tabassum Jannat"/>
    <n v="155"/>
    <s v="MD Abdul Hakiem Khali Sadar"/>
    <n v="15862775882"/>
    <s v="Lutfa Tanjina"/>
    <m/>
    <x v="0"/>
    <x v="0"/>
    <x v="3"/>
    <x v="1"/>
    <n v="12"/>
    <x v="1"/>
    <m/>
    <m/>
    <x v="0"/>
  </r>
  <r>
    <n v="9"/>
    <m/>
    <s v="27200 Parkview Blvd, Apt-603"/>
    <s v="Warren"/>
    <s v="MI"/>
    <n v="48092"/>
    <m/>
    <m/>
    <m/>
    <m/>
    <m/>
    <m/>
    <n v="247"/>
    <s v="Arfa Mahmud"/>
    <n v="156"/>
    <s v="Sulaiman Al Mahmud"/>
    <n v="15863456976"/>
    <s v="Marzia Aktar"/>
    <n v="15862725191"/>
    <x v="0"/>
    <x v="7"/>
    <x v="0"/>
    <x v="0"/>
    <m/>
    <x v="1"/>
    <m/>
    <m/>
    <x v="1"/>
  </r>
  <r>
    <n v="7"/>
    <n v="1"/>
    <s v="26146 Warner Ave"/>
    <s v="Warren"/>
    <s v="MI"/>
    <n v="48091"/>
    <m/>
    <m/>
    <m/>
    <m/>
    <m/>
    <m/>
    <n v="248"/>
    <s v="Tanzila Abdullah"/>
    <n v="157"/>
    <s v="Ruhul Abdullah"/>
    <n v="15866905467"/>
    <s v="Tahera Boroiaskar"/>
    <n v="15866905471"/>
    <x v="0"/>
    <x v="5"/>
    <x v="5"/>
    <x v="1"/>
    <n v="15"/>
    <x v="0"/>
    <n v="11"/>
    <m/>
    <x v="0"/>
  </r>
  <r>
    <n v="9"/>
    <m/>
    <s v="28066 Universal Dr"/>
    <s v="Warren"/>
    <s v="MI"/>
    <n v="48092"/>
    <n v="0"/>
    <n v="0"/>
    <n v="0"/>
    <n v="0"/>
    <n v="0"/>
    <n v="0"/>
    <n v="249"/>
    <s v="Zaynah Miah"/>
    <n v="158"/>
    <s v="Mohammad Atik Miah"/>
    <n v="19733563877"/>
    <s v="Jasmin Uddin"/>
    <n v="13473351519"/>
    <x v="0"/>
    <x v="4"/>
    <x v="0"/>
    <x v="0"/>
    <m/>
    <x v="1"/>
    <m/>
    <m/>
    <x v="1"/>
  </r>
  <r>
    <n v="15"/>
    <m/>
    <s v="26154 Woodingham Dr"/>
    <s v="Warren"/>
    <s v="MI"/>
    <n v="48091"/>
    <n v="0"/>
    <n v="0"/>
    <n v="0"/>
    <n v="0"/>
    <n v="0"/>
    <n v="0"/>
    <n v="250"/>
    <s v="Zamil Mojumder"/>
    <n v="159"/>
    <s v="Azmol Mojumder"/>
    <n v="15865536572"/>
    <s v="Zamil Mojumder"/>
    <n v="0"/>
    <x v="1"/>
    <x v="12"/>
    <x v="4"/>
    <x v="0"/>
    <m/>
    <x v="1"/>
    <m/>
    <m/>
    <x v="1"/>
  </r>
  <r>
    <n v="6"/>
    <m/>
    <s v="26154 Woodingham Dr"/>
    <s v="Warren"/>
    <s v="MI"/>
    <n v="48091"/>
    <n v="0"/>
    <n v="0"/>
    <n v="0"/>
    <n v="0"/>
    <n v="0"/>
    <n v="0"/>
    <n v="251"/>
    <s v="Samya Mojumder"/>
    <n v="159"/>
    <s v="Azmol Mojumder"/>
    <n v="15865536572"/>
    <s v="Zamil Mojumder"/>
    <n v="0"/>
    <x v="0"/>
    <x v="7"/>
    <x v="2"/>
    <x v="0"/>
    <m/>
    <x v="1"/>
    <m/>
    <m/>
    <x v="1"/>
  </r>
  <r>
    <n v="13"/>
    <m/>
    <s v="4279 Bonning Ave"/>
    <s v="Warren"/>
    <s v="MI"/>
    <n v="48092"/>
    <s v="colcibegun771@gmail.com"/>
    <n v="0"/>
    <n v="0"/>
    <n v="0"/>
    <n v="0"/>
    <n v="0"/>
    <n v="252"/>
    <s v="Mansif Koysor"/>
    <n v="160"/>
    <s v="MD Khairul Islam Koysor"/>
    <m/>
    <s v="Eimrana Afaz Shibly"/>
    <n v="0"/>
    <x v="1"/>
    <x v="10"/>
    <x v="0"/>
    <x v="0"/>
    <m/>
    <x v="1"/>
    <m/>
    <m/>
    <x v="1"/>
  </r>
  <r>
    <n v="12"/>
    <m/>
    <s v="na"/>
    <s v="Warren"/>
    <s v="MI"/>
    <n v="10000"/>
    <n v="0"/>
    <n v="0"/>
    <n v="0"/>
    <n v="0"/>
    <n v="0"/>
    <n v="0"/>
    <n v="253"/>
    <s v="Adam Musaid"/>
    <n v="161"/>
    <s v="na"/>
    <n v="13136030289"/>
    <s v="Fairoz"/>
    <n v="0"/>
    <x v="1"/>
    <x v="10"/>
    <x v="0"/>
    <x v="0"/>
    <m/>
    <x v="1"/>
    <m/>
    <m/>
    <x v="1"/>
  </r>
  <r>
    <n v="13"/>
    <m/>
    <s v="21200 Sunset Avenue"/>
    <s v="Warren"/>
    <s v="MI"/>
    <n v="48091"/>
    <n v="0"/>
    <n v="0"/>
    <n v="0"/>
    <n v="0"/>
    <n v="0"/>
    <n v="0"/>
    <n v="254"/>
    <s v="Nadia Ali"/>
    <n v="162"/>
    <s v="Asabor Ali"/>
    <n v="13133498343"/>
    <s v="Shamima Lepi"/>
    <n v="0"/>
    <x v="0"/>
    <x v="8"/>
    <x v="4"/>
    <x v="1"/>
    <n v="8"/>
    <x v="1"/>
    <m/>
    <m/>
    <x v="0"/>
  </r>
  <r>
    <n v="9"/>
    <n v="2"/>
    <s v="26291 Eureka Drive"/>
    <s v="Warren"/>
    <s v="MI"/>
    <n v="48091"/>
    <n v="0"/>
    <n v="0"/>
    <n v="0"/>
    <n v="0"/>
    <n v="0"/>
    <n v="0"/>
    <n v="255"/>
    <s v="Anas Bin Mannan"/>
    <n v="163"/>
    <s v="MD Abdul Mannan Khan"/>
    <n v="19472772279"/>
    <s v="MST Sayedatun Nesa"/>
    <m/>
    <x v="1"/>
    <x v="4"/>
    <x v="2"/>
    <x v="1"/>
    <n v="15"/>
    <x v="1"/>
    <m/>
    <m/>
    <x v="0"/>
  </r>
  <r>
    <n v="11"/>
    <m/>
    <s v="23601 Panama Ave"/>
    <s v="Warren"/>
    <s v="MI"/>
    <n v="48091"/>
    <s v="alimd0891@gmail.com"/>
    <n v="0"/>
    <n v="0"/>
    <n v="0"/>
    <n v="0"/>
    <n v="0"/>
    <n v="256"/>
    <s v="Muntaqa Bint Ali"/>
    <n v="164"/>
    <s v="MD Shajahan Ali"/>
    <n v="14046656720"/>
    <s v="MST Khaleda Begum"/>
    <n v="14045108026"/>
    <x v="0"/>
    <x v="6"/>
    <x v="4"/>
    <x v="1"/>
    <n v="7"/>
    <x v="1"/>
    <m/>
    <m/>
    <x v="0"/>
  </r>
  <r>
    <n v="7"/>
    <m/>
    <s v="23601 Panama Ave"/>
    <s v="Warren"/>
    <s v="MI"/>
    <n v="48091"/>
    <s v="alimd0891@gmail.com"/>
    <n v="0"/>
    <n v="0"/>
    <n v="0"/>
    <n v="0"/>
    <n v="0"/>
    <n v="257"/>
    <s v="Manha Bint Ali"/>
    <n v="164"/>
    <s v="MD Shajahan Ali"/>
    <n v="14046656720"/>
    <s v="MST Khaleda Begum"/>
    <n v="14045108026"/>
    <x v="0"/>
    <x v="7"/>
    <x v="2"/>
    <x v="1"/>
    <n v="6"/>
    <x v="1"/>
    <m/>
    <m/>
    <x v="0"/>
  </r>
  <r>
    <n v="10"/>
    <n v="3"/>
    <s v="29506 Tropea Dr"/>
    <s v="Warren"/>
    <s v="MI"/>
    <n v="48091"/>
    <n v="0"/>
    <n v="0"/>
    <n v="0"/>
    <n v="0"/>
    <n v="0"/>
    <n v="0"/>
    <n v="258"/>
    <s v="Alena Simi"/>
    <n v="165"/>
    <s v="M Nazim Uddin"/>
    <n v="12488259977"/>
    <s v="Yeasmin Begom"/>
    <n v="13134458008"/>
    <x v="0"/>
    <x v="1"/>
    <x v="0"/>
    <x v="0"/>
    <m/>
    <x v="0"/>
    <n v="1"/>
    <m/>
    <x v="0"/>
  </r>
  <r>
    <n v="7"/>
    <m/>
    <s v="29506 Tropea Dr"/>
    <s v="Warren"/>
    <s v="MI"/>
    <n v="48091"/>
    <n v="0"/>
    <n v="0"/>
    <n v="0"/>
    <n v="0"/>
    <n v="0"/>
    <n v="0"/>
    <n v="259"/>
    <s v="Yousuf Nazim"/>
    <n v="165"/>
    <s v="M Nazim Uddin"/>
    <n v="12488259977"/>
    <s v="Yeasmin Begom"/>
    <n v="13134458008"/>
    <x v="1"/>
    <x v="7"/>
    <x v="0"/>
    <x v="0"/>
    <m/>
    <x v="1"/>
    <m/>
    <m/>
    <x v="1"/>
  </r>
  <r>
    <n v="14"/>
    <n v="2"/>
    <s v="23808 Karen Ave"/>
    <s v="Warren"/>
    <s v="MI"/>
    <n v="48091"/>
    <n v="0"/>
    <n v="0"/>
    <n v="0"/>
    <n v="0"/>
    <n v="0"/>
    <n v="0"/>
    <n v="260"/>
    <s v="Shakir Khan"/>
    <n v="166"/>
    <s v="Mahfuj Chowdhury"/>
    <n v="13138708731"/>
    <s v="Sabera Khan"/>
    <n v="13134240387"/>
    <x v="1"/>
    <x v="10"/>
    <x v="0"/>
    <x v="0"/>
    <m/>
    <x v="1"/>
    <m/>
    <m/>
    <x v="1"/>
  </r>
  <r>
    <n v="14"/>
    <n v="2"/>
    <s v="23808 Karen Ave"/>
    <s v="Warren"/>
    <s v="MI"/>
    <n v="48091"/>
    <n v="0"/>
    <n v="0"/>
    <n v="0"/>
    <n v="0"/>
    <n v="0"/>
    <n v="0"/>
    <n v="261"/>
    <s v="Shamir Khan"/>
    <n v="166"/>
    <s v="Mahfuj Chowdhury"/>
    <n v="13138708731"/>
    <s v="Sabera Khan"/>
    <n v="13134240387"/>
    <x v="1"/>
    <x v="10"/>
    <x v="0"/>
    <x v="0"/>
    <m/>
    <x v="1"/>
    <m/>
    <m/>
    <x v="1"/>
  </r>
  <r>
    <n v="9"/>
    <m/>
    <s v="26704 Potomac Ct"/>
    <s v="Centerline"/>
    <s v="MI"/>
    <n v="48015"/>
    <s v="mdshohelmia254@yahoo.com"/>
    <n v="0"/>
    <n v="0"/>
    <n v="0"/>
    <n v="0"/>
    <n v="0"/>
    <n v="262"/>
    <s v="Ahnaf H Anas"/>
    <n v="167"/>
    <s v="MD Shohel Rana"/>
    <n v="12133577649"/>
    <s v="Saifun Naher"/>
    <n v="12135488843"/>
    <x v="1"/>
    <x v="4"/>
    <x v="2"/>
    <x v="1"/>
    <n v="2"/>
    <x v="1"/>
    <m/>
    <m/>
    <x v="0"/>
  </r>
  <r>
    <n v="6"/>
    <m/>
    <s v="26934 Eureka Dr"/>
    <s v="Warren"/>
    <s v="MI"/>
    <n v="48091"/>
    <n v="0"/>
    <n v="0"/>
    <n v="0"/>
    <n v="0"/>
    <n v="0"/>
    <n v="0"/>
    <n v="263"/>
    <s v="Samarah A Chowdhury"/>
    <n v="168"/>
    <s v="Subin H Chowdhury"/>
    <n v="12033852703"/>
    <s v="Rabia B Chowdhury"/>
    <n v="0"/>
    <x v="0"/>
    <x v="7"/>
    <x v="2"/>
    <x v="1"/>
    <n v="12"/>
    <x v="1"/>
    <m/>
    <m/>
    <x v="0"/>
  </r>
  <r>
    <n v="12"/>
    <m/>
    <s v="24757 Patricia Ave"/>
    <s v="Warren"/>
    <s v="MI"/>
    <n v="48091"/>
    <n v="0"/>
    <n v="0"/>
    <n v="0"/>
    <n v="0"/>
    <n v="0"/>
    <n v="0"/>
    <n v="264"/>
    <s v="Naju Mustaque"/>
    <n v="169"/>
    <s v="Mohammed Mustaque"/>
    <n v="13132586668"/>
    <s v="Rusna Begum"/>
    <n v="15864279988"/>
    <x v="0"/>
    <x v="9"/>
    <x v="1"/>
    <x v="0"/>
    <m/>
    <x v="1"/>
    <m/>
    <m/>
    <x v="1"/>
  </r>
  <r>
    <n v="0"/>
    <m/>
    <s v="27595 Sylvan Ave"/>
    <s v="Warren"/>
    <s v="MI"/>
    <n v="48093"/>
    <n v="0"/>
    <n v="0"/>
    <n v="0"/>
    <n v="0"/>
    <n v="0"/>
    <n v="0"/>
    <n v="265"/>
    <s v="Farhan Uddin"/>
    <n v="170"/>
    <s v="Jamal Uddin"/>
    <n v="13134436329"/>
    <s v="Ferdous Uddin"/>
    <m/>
    <x v="1"/>
    <x v="0"/>
    <x v="2"/>
    <x v="1"/>
    <n v="3"/>
    <x v="1"/>
    <m/>
    <m/>
    <x v="0"/>
  </r>
  <r>
    <n v="7"/>
    <s v="Qaida"/>
    <s v="31810 Gilbert Drive"/>
    <s v="Warren"/>
    <s v="MI"/>
    <n v="48093"/>
    <n v="0"/>
    <n v="0"/>
    <n v="0"/>
    <n v="0"/>
    <n v="0"/>
    <n v="0"/>
    <n v="266"/>
    <s v="Faizan Rahman"/>
    <n v="171"/>
    <s v="Mahfujur Rahman"/>
    <n v="13134548362"/>
    <s v="Sayra Begum"/>
    <n v="13135649981"/>
    <x v="1"/>
    <x v="7"/>
    <x v="5"/>
    <x v="1"/>
    <n v="6"/>
    <x v="1"/>
    <m/>
    <m/>
    <x v="0"/>
  </r>
  <r>
    <n v="8"/>
    <m/>
    <s v="31810 Gilbert Drive"/>
    <s v="Warren"/>
    <s v="MI"/>
    <n v="48093"/>
    <n v="0"/>
    <n v="0"/>
    <n v="0"/>
    <n v="0"/>
    <n v="0"/>
    <n v="0"/>
    <n v="267"/>
    <s v="Liyana Rida Rahman"/>
    <n v="171"/>
    <s v="Mahfujur Rahman"/>
    <n v="13134548362"/>
    <s v="Sayra Begum"/>
    <n v="13135649981"/>
    <x v="0"/>
    <x v="2"/>
    <x v="2"/>
    <x v="1"/>
    <n v="4"/>
    <x v="1"/>
    <m/>
    <m/>
    <x v="0"/>
  </r>
  <r>
    <n v="9"/>
    <m/>
    <s v="24424 Curie St"/>
    <s v="Warren"/>
    <s v="MI"/>
    <n v="48091"/>
    <n v="0"/>
    <n v="0"/>
    <n v="0"/>
    <n v="0"/>
    <n v="0"/>
    <n v="0"/>
    <n v="268"/>
    <s v="Mahid Ahmed"/>
    <n v="172"/>
    <s v="Nabul Ahmed"/>
    <n v="13478791812"/>
    <s v="Tahera Sultana"/>
    <n v="0"/>
    <x v="1"/>
    <x v="4"/>
    <x v="2"/>
    <x v="0"/>
    <m/>
    <x v="1"/>
    <m/>
    <m/>
    <x v="1"/>
  </r>
  <r>
    <n v="5"/>
    <m/>
    <s v="13857 Frazho Rd"/>
    <s v="Warren"/>
    <s v="MI"/>
    <n v="48089"/>
    <n v="0"/>
    <n v="0"/>
    <n v="0"/>
    <n v="0"/>
    <n v="0"/>
    <n v="0"/>
    <n v="269"/>
    <s v="Arham Rahman"/>
    <n v="173"/>
    <s v="Sahajanur Sajon"/>
    <n v="13137725163"/>
    <s v="Refa Begum"/>
    <n v="13132930705"/>
    <x v="1"/>
    <x v="3"/>
    <x v="0"/>
    <x v="0"/>
    <m/>
    <x v="1"/>
    <m/>
    <m/>
    <x v="1"/>
  </r>
  <r>
    <n v="13"/>
    <n v="2"/>
    <s v="25506 Patricia Ave"/>
    <s v="Warren"/>
    <s v="MI"/>
    <n v="48091"/>
    <s v="nurulhuda78@gmail.com"/>
    <s v="Mohammed Joynu, Huda"/>
    <s v="Uncle"/>
    <s v="+15868067128"/>
    <n v="0"/>
    <n v="0"/>
    <n v="270"/>
    <s v="Mahrajun Nur"/>
    <n v="174"/>
    <s v="Mohammed Nurul Huda"/>
    <n v="15863561234"/>
    <s v="Nazia Maqsud Chowdhury"/>
    <n v="0"/>
    <x v="1"/>
    <x v="10"/>
    <x v="0"/>
    <x v="0"/>
    <m/>
    <x v="0"/>
    <n v="10"/>
    <m/>
    <x v="0"/>
  </r>
  <r>
    <n v="13"/>
    <m/>
    <m/>
    <m/>
    <m/>
    <m/>
    <m/>
    <m/>
    <m/>
    <m/>
    <m/>
    <m/>
    <n v="271"/>
    <s v="Mohamed Alhariri, check RG 181"/>
    <n v="175"/>
    <s v="Yousef Alhariri"/>
    <n v="3133184199"/>
    <m/>
    <m/>
    <x v="1"/>
    <x v="10"/>
    <x v="5"/>
    <x v="0"/>
    <m/>
    <x v="1"/>
    <m/>
    <m/>
    <x v="1"/>
  </r>
  <r>
    <n v="12"/>
    <m/>
    <s v="25742 Cunninham Ave"/>
    <s v="Warren"/>
    <s v="MI"/>
    <n v="48091"/>
    <n v="0"/>
    <s v="Shahanara Begum"/>
    <n v="0"/>
    <n v="0"/>
    <s v="+15862449550"/>
    <n v="0"/>
    <n v="272"/>
    <s v="Wasefa Ahad Fabiha"/>
    <n v="176"/>
    <s v="Abdul Ahad"/>
    <n v="15863545713"/>
    <s v="Kazi Halima Sultana"/>
    <m/>
    <x v="0"/>
    <x v="9"/>
    <x v="0"/>
    <x v="0"/>
    <m/>
    <x v="1"/>
    <m/>
    <m/>
    <x v="1"/>
  </r>
  <r>
    <n v="8"/>
    <m/>
    <s v="25742 Cunninham Ave"/>
    <s v="Warren"/>
    <s v="MI"/>
    <n v="48091"/>
    <n v="0"/>
    <s v="Shahanara Begum"/>
    <n v="0"/>
    <n v="0"/>
    <s v="+15862449550"/>
    <n v="0"/>
    <n v="273"/>
    <s v="Nafisa Ahad Fariha"/>
    <n v="176"/>
    <s v="Abdul Ahad"/>
    <n v="15863545713"/>
    <s v="Kazi Halima Sultana"/>
    <m/>
    <x v="0"/>
    <x v="4"/>
    <x v="4"/>
    <x v="0"/>
    <m/>
    <x v="1"/>
    <m/>
    <m/>
    <x v="1"/>
  </r>
  <r>
    <n v="8"/>
    <m/>
    <s v="25742 Cunninham Ave"/>
    <s v="Warren"/>
    <s v="MI"/>
    <n v="48091"/>
    <n v="0"/>
    <s v="Shahanara Begum"/>
    <n v="0"/>
    <n v="0"/>
    <s v="+15862449550"/>
    <n v="0"/>
    <n v="274"/>
    <s v="Muhammad Ahad Abid"/>
    <n v="176"/>
    <s v="Abdul Ahad"/>
    <n v="15863545713"/>
    <s v="Kazi Halima Sultana"/>
    <m/>
    <x v="1"/>
    <x v="4"/>
    <x v="0"/>
    <x v="0"/>
    <m/>
    <x v="1"/>
    <m/>
    <m/>
    <x v="1"/>
  </r>
  <r>
    <n v="5"/>
    <n v="3"/>
    <s v="30606 aUSTIN dR"/>
    <s v="Warren"/>
    <s v="MI"/>
    <n v="48092"/>
    <s v="sumayabhoiyan@icloud.om"/>
    <n v="0"/>
    <n v="0"/>
    <n v="0"/>
    <n v="0"/>
    <n v="0"/>
    <n v="275"/>
    <s v="Maira Islam"/>
    <n v="177"/>
    <s v="Rashedul Islam"/>
    <n v="15862379790"/>
    <s v="Sumaya Bhoiyan"/>
    <n v="15869436744"/>
    <x v="0"/>
    <x v="5"/>
    <x v="3"/>
    <x v="1"/>
    <n v="8"/>
    <x v="0"/>
    <n v="10"/>
    <m/>
    <x v="0"/>
  </r>
  <r>
    <d v="2018-06-30T00:00:00"/>
    <m/>
    <m/>
    <m/>
    <m/>
    <m/>
    <m/>
    <m/>
    <m/>
    <m/>
    <m/>
    <m/>
    <n v="276"/>
    <s v="Abida Begum"/>
    <n v="184"/>
    <s v="ABDUL KADIR"/>
    <n v="3134527440"/>
    <s v="SHOPNA BEGUM"/>
    <n v="3137991499"/>
    <x v="0"/>
    <x v="7"/>
    <x v="3"/>
    <x v="1"/>
    <n v="1"/>
    <x v="1"/>
    <m/>
    <m/>
    <x v="0"/>
  </r>
  <r>
    <m/>
    <m/>
    <m/>
    <m/>
    <m/>
    <m/>
    <m/>
    <m/>
    <m/>
    <m/>
    <m/>
    <m/>
    <n v="277"/>
    <s v="Adilah Ahmed"/>
    <m/>
    <m/>
    <m/>
    <m/>
    <m/>
    <x v="0"/>
    <x v="0"/>
    <x v="1"/>
    <x v="0"/>
    <m/>
    <x v="1"/>
    <m/>
    <m/>
    <x v="1"/>
  </r>
  <r>
    <d v="2012-02-10T00:00:00"/>
    <m/>
    <m/>
    <m/>
    <m/>
    <m/>
    <m/>
    <m/>
    <m/>
    <m/>
    <m/>
    <m/>
    <n v="278"/>
    <s v="Afruza Akthar"/>
    <n v="194"/>
    <s v="MOHAMMOD ANAM UDDIN "/>
    <n v="5865535260"/>
    <s v="MORIOM AKTHAR "/>
    <n v="5862378923"/>
    <x v="0"/>
    <x v="10"/>
    <x v="1"/>
    <x v="1"/>
    <n v="2"/>
    <x v="1"/>
    <m/>
    <m/>
    <x v="0"/>
  </r>
  <r>
    <d v="2016-08-30T00:00:00"/>
    <m/>
    <m/>
    <m/>
    <m/>
    <m/>
    <m/>
    <m/>
    <m/>
    <m/>
    <m/>
    <m/>
    <n v="279"/>
    <s v="Aleena Akhtar"/>
    <n v="194"/>
    <s v="MOHAMMOD ANAM UDDIN "/>
    <n v="5865535260"/>
    <s v="MORIOM AKTHAR "/>
    <n v="5862378923"/>
    <x v="0"/>
    <x v="4"/>
    <x v="2"/>
    <x v="0"/>
    <m/>
    <x v="1"/>
    <m/>
    <m/>
    <x v="1"/>
  </r>
  <r>
    <d v="2016-08-23T00:00:00"/>
    <m/>
    <m/>
    <m/>
    <m/>
    <m/>
    <m/>
    <m/>
    <m/>
    <m/>
    <m/>
    <m/>
    <n v="280"/>
    <s v="Aleena Aziz"/>
    <n v="180"/>
    <s v="LIPON AZIZ"/>
    <n v="9735635000"/>
    <s v="ASFA AZIZ"/>
    <n v="9734133510"/>
    <x v="0"/>
    <x v="4"/>
    <x v="5"/>
    <x v="1"/>
    <n v="3"/>
    <x v="1"/>
    <m/>
    <m/>
    <x v="0"/>
  </r>
  <r>
    <m/>
    <n v="3"/>
    <m/>
    <m/>
    <m/>
    <m/>
    <m/>
    <m/>
    <m/>
    <m/>
    <m/>
    <m/>
    <n v="281"/>
    <s v="Alvina Fateh"/>
    <n v="27"/>
    <s v="Abul Kashem Fateh"/>
    <n v="3134852745"/>
    <s v="Siyara B Chowdhury"/>
    <m/>
    <x v="0"/>
    <x v="4"/>
    <x v="4"/>
    <x v="1"/>
    <n v="2"/>
    <x v="1"/>
    <m/>
    <m/>
    <x v="0"/>
  </r>
  <r>
    <m/>
    <m/>
    <m/>
    <m/>
    <m/>
    <m/>
    <m/>
    <m/>
    <m/>
    <m/>
    <m/>
    <m/>
    <n v="282"/>
    <s v="Anisha Hussain"/>
    <n v="190"/>
    <s v="AHMED ASAD"/>
    <n v="3133779541"/>
    <s v="SUNIA"/>
    <n v="5864387830"/>
    <x v="0"/>
    <x v="5"/>
    <x v="6"/>
    <x v="1"/>
    <n v="13"/>
    <x v="1"/>
    <m/>
    <m/>
    <x v="0"/>
  </r>
  <r>
    <m/>
    <m/>
    <m/>
    <m/>
    <m/>
    <m/>
    <m/>
    <m/>
    <m/>
    <m/>
    <m/>
    <m/>
    <n v="283"/>
    <s v="Aribah Chowdhury"/>
    <m/>
    <m/>
    <m/>
    <m/>
    <m/>
    <x v="0"/>
    <x v="0"/>
    <x v="0"/>
    <x v="0"/>
    <m/>
    <x v="1"/>
    <m/>
    <m/>
    <x v="1"/>
  </r>
  <r>
    <m/>
    <s v="Qaida"/>
    <m/>
    <m/>
    <m/>
    <m/>
    <m/>
    <m/>
    <m/>
    <m/>
    <m/>
    <m/>
    <n v="284"/>
    <s v="Ahiyan Hussain"/>
    <n v="190"/>
    <s v="AHMED ASAD"/>
    <n v="3133779541"/>
    <s v="SUNIA"/>
    <n v="5864387830"/>
    <x v="1"/>
    <x v="2"/>
    <x v="5"/>
    <x v="1"/>
    <n v="10"/>
    <x v="1"/>
    <m/>
    <m/>
    <x v="0"/>
  </r>
  <r>
    <n v="8"/>
    <s v="Qaida"/>
    <m/>
    <m/>
    <m/>
    <m/>
    <m/>
    <m/>
    <m/>
    <m/>
    <m/>
    <m/>
    <n v="285"/>
    <s v="Aryan Ahmed Khan"/>
    <n v="69"/>
    <s v="Tofayel Khan"/>
    <n v="13137423584"/>
    <s v="Soniya A Dina"/>
    <m/>
    <x v="1"/>
    <x v="2"/>
    <x v="5"/>
    <x v="1"/>
    <n v="11"/>
    <x v="1"/>
    <m/>
    <m/>
    <x v="0"/>
  </r>
  <r>
    <d v="2012-09-05T00:00:00"/>
    <s v="Hifz"/>
    <m/>
    <m/>
    <m/>
    <m/>
    <m/>
    <m/>
    <m/>
    <m/>
    <m/>
    <m/>
    <n v="286"/>
    <s v="Asim Aziz"/>
    <n v="180"/>
    <s v="LIPON AZIZ"/>
    <n v="9735635000"/>
    <s v="ASFA AZIZ"/>
    <n v="9734133510"/>
    <x v="1"/>
    <x v="10"/>
    <x v="1"/>
    <x v="1"/>
    <n v="5"/>
    <x v="1"/>
    <m/>
    <m/>
    <x v="0"/>
  </r>
  <r>
    <d v="2014-07-01T00:00:00"/>
    <m/>
    <m/>
    <m/>
    <m/>
    <m/>
    <m/>
    <m/>
    <m/>
    <m/>
    <m/>
    <m/>
    <n v="287"/>
    <s v="Asmita Alam"/>
    <n v="191"/>
    <s v="MOHAMMAD MORSHADUL ALAM"/>
    <n v="7863342537"/>
    <s v="ASMA ANJUM"/>
    <n v="3137074083"/>
    <x v="0"/>
    <x v="6"/>
    <x v="5"/>
    <x v="1"/>
    <n v="5"/>
    <x v="1"/>
    <m/>
    <m/>
    <x v="0"/>
  </r>
  <r>
    <d v="2013-12-13T00:00:00"/>
    <m/>
    <m/>
    <m/>
    <m/>
    <m/>
    <m/>
    <m/>
    <m/>
    <m/>
    <m/>
    <m/>
    <n v="288"/>
    <s v="Ayesha Siddika"/>
    <n v="179"/>
    <s v="HASAN BAHAR"/>
    <n v="6024138949"/>
    <s v="MOSAMMAT RAHI"/>
    <n v="6028023778"/>
    <x v="0"/>
    <x v="6"/>
    <x v="4"/>
    <x v="1"/>
    <n v="3"/>
    <x v="1"/>
    <m/>
    <m/>
    <x v="0"/>
  </r>
  <r>
    <m/>
    <m/>
    <m/>
    <m/>
    <m/>
    <m/>
    <m/>
    <m/>
    <m/>
    <m/>
    <m/>
    <m/>
    <n v="289"/>
    <s v="Ayman"/>
    <m/>
    <m/>
    <m/>
    <m/>
    <m/>
    <x v="1"/>
    <x v="0"/>
    <x v="0"/>
    <x v="0"/>
    <m/>
    <x v="1"/>
    <m/>
    <m/>
    <x v="1"/>
  </r>
  <r>
    <m/>
    <m/>
    <m/>
    <m/>
    <m/>
    <m/>
    <m/>
    <m/>
    <m/>
    <m/>
    <m/>
    <m/>
    <n v="290"/>
    <s v="Aysha Siddika"/>
    <n v="188"/>
    <s v="Late Abdul Manna"/>
    <n v="5862725819"/>
    <s v="Shahina Begum"/>
    <n v="5863659128"/>
    <x v="0"/>
    <x v="8"/>
    <x v="1"/>
    <x v="0"/>
    <m/>
    <x v="1"/>
    <m/>
    <m/>
    <x v="1"/>
  </r>
  <r>
    <d v="2017-08-01T00:00:00"/>
    <m/>
    <m/>
    <m/>
    <m/>
    <m/>
    <m/>
    <m/>
    <m/>
    <m/>
    <m/>
    <m/>
    <n v="291"/>
    <s v="Erina Aziz"/>
    <n v="180"/>
    <s v="LIPON AZIZ"/>
    <n v="9735635000"/>
    <s v="ASFA AZIZ"/>
    <n v="9734133510"/>
    <x v="0"/>
    <x v="2"/>
    <x v="6"/>
    <x v="1"/>
    <n v="4"/>
    <x v="1"/>
    <m/>
    <m/>
    <x v="0"/>
  </r>
  <r>
    <d v="2019-10-24T00:00:00"/>
    <s v="Qaida"/>
    <m/>
    <m/>
    <m/>
    <m/>
    <m/>
    <m/>
    <m/>
    <m/>
    <m/>
    <m/>
    <n v="292"/>
    <s v="Fahim Abdullah"/>
    <n v="201"/>
    <s v="Abdullah Al Faruk"/>
    <n v="3235722238"/>
    <s v="Umme Qulsum"/>
    <n v="9472779015"/>
    <x v="1"/>
    <x v="3"/>
    <x v="3"/>
    <x v="1"/>
    <n v="11"/>
    <x v="1"/>
    <m/>
    <m/>
    <x v="0"/>
  </r>
  <r>
    <m/>
    <m/>
    <m/>
    <m/>
    <m/>
    <m/>
    <m/>
    <m/>
    <m/>
    <m/>
    <m/>
    <m/>
    <n v="293"/>
    <m/>
    <m/>
    <m/>
    <m/>
    <m/>
    <m/>
    <x v="2"/>
    <x v="0"/>
    <x v="0"/>
    <x v="2"/>
    <m/>
    <x v="2"/>
    <m/>
    <m/>
    <x v="2"/>
  </r>
  <r>
    <d v="2014-10-07T00:00:00"/>
    <s v="Hifz"/>
    <m/>
    <m/>
    <m/>
    <m/>
    <m/>
    <m/>
    <m/>
    <m/>
    <m/>
    <m/>
    <n v="294"/>
    <s v="Ihsan Chowdhury"/>
    <n v="189"/>
    <s v="BADRUL CHOWDHURY"/>
    <n v="5865226880"/>
    <s v="AFSANA RAHMAN"/>
    <n v="5863600337"/>
    <x v="1"/>
    <x v="1"/>
    <x v="1"/>
    <x v="1"/>
    <n v="6"/>
    <x v="1"/>
    <m/>
    <m/>
    <x v="0"/>
  </r>
  <r>
    <d v="2015-10-08T00:00:00"/>
    <m/>
    <m/>
    <m/>
    <m/>
    <m/>
    <m/>
    <m/>
    <m/>
    <m/>
    <m/>
    <m/>
    <n v="295"/>
    <s v="Inaaya Chowdhury"/>
    <n v="189"/>
    <s v="BADRUL CHOWDHURY"/>
    <n v="5865226880"/>
    <s v="AFSANA RAHMAN"/>
    <n v="5863600337"/>
    <x v="0"/>
    <x v="1"/>
    <x v="1"/>
    <x v="1"/>
    <n v="6"/>
    <x v="1"/>
    <m/>
    <m/>
    <x v="0"/>
  </r>
  <r>
    <d v="2019-02-27T00:00:00"/>
    <m/>
    <m/>
    <m/>
    <m/>
    <m/>
    <m/>
    <m/>
    <m/>
    <m/>
    <m/>
    <m/>
    <n v="296"/>
    <s v="ISRAT LABIBA RAHMAN"/>
    <n v="186"/>
    <s v="MOHAMMED EBADUR RAHMAN"/>
    <n v="5616684125"/>
    <s v="MAHBUBA ISLAM NADIA"/>
    <m/>
    <x v="0"/>
    <x v="0"/>
    <x v="3"/>
    <x v="1"/>
    <n v="7"/>
    <x v="1"/>
    <m/>
    <m/>
    <x v="0"/>
  </r>
  <r>
    <m/>
    <s v="Hifz"/>
    <m/>
    <m/>
    <m/>
    <m/>
    <m/>
    <m/>
    <m/>
    <m/>
    <m/>
    <m/>
    <n v="297"/>
    <s v="Mahdi Ahmed"/>
    <n v="188"/>
    <s v="(LATE) ABDUL MANNAN"/>
    <m/>
    <s v="SHAHINA BEGUM"/>
    <n v="5862725819"/>
    <x v="1"/>
    <x v="13"/>
    <x v="1"/>
    <x v="0"/>
    <m/>
    <x v="1"/>
    <m/>
    <m/>
    <x v="1"/>
  </r>
  <r>
    <m/>
    <m/>
    <m/>
    <m/>
    <m/>
    <m/>
    <m/>
    <m/>
    <m/>
    <m/>
    <m/>
    <m/>
    <n v="298"/>
    <s v="Nafisa Mariom"/>
    <n v="188"/>
    <s v="Late Abdul Manna"/>
    <n v="5862725819"/>
    <s v="Shahina Begum"/>
    <n v="5863659128"/>
    <x v="0"/>
    <x v="9"/>
    <x v="1"/>
    <x v="0"/>
    <m/>
    <x v="1"/>
    <m/>
    <m/>
    <x v="1"/>
  </r>
  <r>
    <m/>
    <m/>
    <m/>
    <m/>
    <m/>
    <m/>
    <m/>
    <m/>
    <m/>
    <m/>
    <m/>
    <m/>
    <n v="299"/>
    <s v="Nurat Hussain"/>
    <n v="178"/>
    <s v="HUSSAIN TAREQ"/>
    <n v="3135647414"/>
    <s v="JOHURA AKTHER"/>
    <n v="3137072012"/>
    <x v="0"/>
    <x v="0"/>
    <x v="3"/>
    <x v="1"/>
    <n v="9"/>
    <x v="1"/>
    <m/>
    <m/>
    <x v="0"/>
  </r>
  <r>
    <m/>
    <m/>
    <m/>
    <m/>
    <m/>
    <m/>
    <m/>
    <m/>
    <m/>
    <m/>
    <m/>
    <m/>
    <n v="300"/>
    <s v="NUZAIRAH CHOWDHURY"/>
    <n v="187"/>
    <s v="MUHIBUL CHOWDHURY"/>
    <n v="5867330056"/>
    <s v="SYEDA PARVIN"/>
    <n v="5865531227"/>
    <x v="0"/>
    <x v="0"/>
    <x v="2"/>
    <x v="1"/>
    <n v="9"/>
    <x v="1"/>
    <m/>
    <m/>
    <x v="0"/>
  </r>
  <r>
    <d v="2017-03-26T00:00:00"/>
    <s v="Qaida"/>
    <m/>
    <m/>
    <m/>
    <m/>
    <m/>
    <m/>
    <m/>
    <m/>
    <m/>
    <m/>
    <n v="301"/>
    <s v="RADEEM NOOR"/>
    <n v="200"/>
    <s v="RONAN NOOR"/>
    <m/>
    <s v="TAHMINA CHOWDHURY"/>
    <m/>
    <x v="1"/>
    <x v="2"/>
    <x v="3"/>
    <x v="1"/>
    <n v="4"/>
    <x v="1"/>
    <m/>
    <m/>
    <x v="0"/>
  </r>
  <r>
    <m/>
    <m/>
    <m/>
    <m/>
    <m/>
    <m/>
    <m/>
    <m/>
    <m/>
    <m/>
    <m/>
    <m/>
    <n v="302"/>
    <s v="RAHMA KHAN"/>
    <m/>
    <m/>
    <m/>
    <m/>
    <m/>
    <x v="0"/>
    <x v="0"/>
    <x v="0"/>
    <x v="0"/>
    <m/>
    <x v="1"/>
    <m/>
    <m/>
    <x v="1"/>
  </r>
  <r>
    <d v="2017-08-29T00:00:00"/>
    <s v="Qaida"/>
    <m/>
    <m/>
    <m/>
    <m/>
    <m/>
    <m/>
    <m/>
    <m/>
    <m/>
    <m/>
    <n v="303"/>
    <s v="RAQIB HASAN"/>
    <n v="182"/>
    <s v="MD EMRUL HASAN"/>
    <n v="8622902837"/>
    <s v="AMINA HASAN"/>
    <m/>
    <x v="1"/>
    <x v="2"/>
    <x v="5"/>
    <x v="1"/>
    <n v="5"/>
    <x v="1"/>
    <m/>
    <m/>
    <x v="0"/>
  </r>
  <r>
    <d v="2010-06-02T00:00:00"/>
    <m/>
    <m/>
    <m/>
    <m/>
    <m/>
    <m/>
    <m/>
    <m/>
    <m/>
    <m/>
    <m/>
    <n v="304"/>
    <s v="Sanjeeda Rahman (check RG 99)"/>
    <n v="183"/>
    <s v="MAHMUDUR RAHMAN"/>
    <n v="3133189073"/>
    <m/>
    <m/>
    <x v="0"/>
    <x v="12"/>
    <x v="1"/>
    <x v="1"/>
    <n v="11"/>
    <x v="1"/>
    <m/>
    <m/>
    <x v="0"/>
  </r>
  <r>
    <d v="2013-01-01T00:00:00"/>
    <s v="Hifz"/>
    <m/>
    <m/>
    <m/>
    <m/>
    <m/>
    <m/>
    <m/>
    <m/>
    <m/>
    <m/>
    <n v="305"/>
    <s v="Saqib Hasan"/>
    <n v="182"/>
    <s v="MD EMRUL HASAN"/>
    <n v="8622902837"/>
    <s v="AMINA HASAN"/>
    <m/>
    <x v="1"/>
    <x v="9"/>
    <x v="1"/>
    <x v="1"/>
    <n v="10"/>
    <x v="1"/>
    <m/>
    <m/>
    <x v="0"/>
  </r>
  <r>
    <d v="2018-12-02T00:00:00"/>
    <s v="Qaida"/>
    <m/>
    <m/>
    <m/>
    <m/>
    <m/>
    <m/>
    <m/>
    <m/>
    <m/>
    <m/>
    <n v="306"/>
    <s v="Sulaiman Hussain Usman"/>
    <n v="185"/>
    <s v="Shahadat Miraj"/>
    <n v="5187689000"/>
    <s v="Fathema Johura"/>
    <n v="6462208293"/>
    <x v="1"/>
    <x v="5"/>
    <x v="0"/>
    <x v="0"/>
    <m/>
    <x v="1"/>
    <m/>
    <m/>
    <x v="1"/>
  </r>
  <r>
    <d v="2019-11-18T00:00:00"/>
    <m/>
    <m/>
    <m/>
    <m/>
    <m/>
    <m/>
    <m/>
    <m/>
    <m/>
    <m/>
    <m/>
    <n v="307"/>
    <s v="TALHA AHMED "/>
    <n v="193"/>
    <s v="SHIBBIR AHMED"/>
    <n v="3134552640"/>
    <s v="YESMIN AKTER TARANA"/>
    <n v="13134207093"/>
    <x v="1"/>
    <x v="5"/>
    <x v="3"/>
    <x v="1"/>
    <n v="8"/>
    <x v="1"/>
    <m/>
    <m/>
    <x v="0"/>
  </r>
  <r>
    <d v="2019-08-11T00:00:00"/>
    <m/>
    <m/>
    <m/>
    <m/>
    <m/>
    <m/>
    <m/>
    <m/>
    <m/>
    <m/>
    <m/>
    <n v="308"/>
    <s v="Tasnim Alam"/>
    <n v="191"/>
    <s v="MOHAMMAD MORSHADUL ALAM"/>
    <n v="7863342537"/>
    <s v="ASMA ANJUM"/>
    <n v="3137074083"/>
    <x v="0"/>
    <x v="5"/>
    <x v="3"/>
    <x v="1"/>
    <n v="13"/>
    <x v="1"/>
    <m/>
    <m/>
    <x v="0"/>
  </r>
  <r>
    <m/>
    <m/>
    <m/>
    <m/>
    <m/>
    <m/>
    <m/>
    <m/>
    <m/>
    <m/>
    <m/>
    <m/>
    <n v="310"/>
    <s v="Yasir Zaman"/>
    <n v="192"/>
    <m/>
    <m/>
    <m/>
    <m/>
    <x v="1"/>
    <x v="0"/>
    <x v="2"/>
    <x v="1"/>
    <n v="14"/>
    <x v="1"/>
    <m/>
    <m/>
    <x v="0"/>
  </r>
  <r>
    <m/>
    <s v="Hifz"/>
    <m/>
    <m/>
    <m/>
    <m/>
    <m/>
    <m/>
    <m/>
    <m/>
    <m/>
    <m/>
    <n v="311"/>
    <s v="Zarrar Islam"/>
    <n v="196"/>
    <s v="Foizul Islam"/>
    <n v="3133126699"/>
    <s v="Syeda Koli Islam"/>
    <n v="3136037773"/>
    <x v="1"/>
    <x v="0"/>
    <x v="1"/>
    <x v="1"/>
    <n v="13"/>
    <x v="1"/>
    <m/>
    <m/>
    <x v="0"/>
  </r>
  <r>
    <m/>
    <m/>
    <m/>
    <m/>
    <m/>
    <m/>
    <m/>
    <m/>
    <m/>
    <m/>
    <m/>
    <m/>
    <n v="312"/>
    <s v="Zoha Islam"/>
    <n v="196"/>
    <s v="Foizul Islam"/>
    <n v="3133126699"/>
    <s v="Syeda Koli Islam"/>
    <n v="3136037773"/>
    <x v="0"/>
    <x v="0"/>
    <x v="1"/>
    <x v="1"/>
    <n v="14"/>
    <x v="1"/>
    <m/>
    <m/>
    <x v="0"/>
  </r>
  <r>
    <m/>
    <n v="3"/>
    <m/>
    <m/>
    <m/>
    <m/>
    <m/>
    <m/>
    <m/>
    <m/>
    <m/>
    <m/>
    <n v="313"/>
    <s v="Khadija Jannat"/>
    <m/>
    <s v="Reazul Karim"/>
    <m/>
    <m/>
    <m/>
    <x v="0"/>
    <x v="0"/>
    <x v="0"/>
    <x v="0"/>
    <m/>
    <x v="1"/>
    <m/>
    <m/>
    <x v="1"/>
  </r>
  <r>
    <m/>
    <n v="2"/>
    <m/>
    <m/>
    <m/>
    <m/>
    <m/>
    <m/>
    <m/>
    <m/>
    <m/>
    <m/>
    <n v="315"/>
    <s v="Kazi Yasin"/>
    <m/>
    <s v="Kazi Muqtadin Ahmed"/>
    <m/>
    <s v="At Tanha Lupa"/>
    <m/>
    <x v="1"/>
    <x v="0"/>
    <x v="0"/>
    <x v="0"/>
    <m/>
    <x v="0"/>
    <n v="7"/>
    <m/>
    <x v="0"/>
  </r>
  <r>
    <d v="2012-06-28T00:00:00"/>
    <s v="Qaida"/>
    <m/>
    <m/>
    <m/>
    <m/>
    <m/>
    <m/>
    <m/>
    <m/>
    <m/>
    <m/>
    <n v="316"/>
    <s v="Tazkira Rakiba Dima"/>
    <n v="201"/>
    <s v="Abdullah Al Faruk"/>
    <n v="3235722238"/>
    <s v="Umme Qulsum"/>
    <n v="9472779015"/>
    <x v="0"/>
    <x v="10"/>
    <x v="6"/>
    <x v="1"/>
    <n v="15"/>
    <x v="1"/>
    <m/>
    <m/>
    <x v="0"/>
  </r>
  <r>
    <d v="2017-12-07T00:00:00"/>
    <s v="Qaida"/>
    <m/>
    <m/>
    <m/>
    <m/>
    <m/>
    <m/>
    <m/>
    <m/>
    <m/>
    <m/>
    <n v="317"/>
    <s v="Nazifa Uddin"/>
    <n v="198"/>
    <s v="Taj Uddin"/>
    <n v="6464796140"/>
    <s v="Rina Uddin"/>
    <n v="7186908647"/>
    <x v="0"/>
    <x v="7"/>
    <x v="3"/>
    <x v="1"/>
    <n v="19"/>
    <x v="1"/>
    <m/>
    <m/>
    <x v="0"/>
  </r>
  <r>
    <d v="2017-10-03T00:00:00"/>
    <s v="Qaida"/>
    <m/>
    <m/>
    <m/>
    <m/>
    <m/>
    <m/>
    <m/>
    <m/>
    <m/>
    <m/>
    <n v="318"/>
    <s v="Faria Islam Adeeba"/>
    <n v="199"/>
    <s v="Muhammed Saiful Islam"/>
    <n v="6465415532"/>
    <s v="Nafsaniath Fatama Samia"/>
    <n v="6468988290"/>
    <x v="0"/>
    <x v="2"/>
    <x v="3"/>
    <x v="1"/>
    <n v="16"/>
    <x v="1"/>
    <m/>
    <m/>
    <x v="0"/>
  </r>
  <r>
    <m/>
    <m/>
    <m/>
    <m/>
    <m/>
    <m/>
    <m/>
    <m/>
    <m/>
    <m/>
    <m/>
    <m/>
    <n v="319"/>
    <s v="Amira Zaynab"/>
    <m/>
    <m/>
    <m/>
    <m/>
    <m/>
    <x v="0"/>
    <x v="0"/>
    <x v="3"/>
    <x v="0"/>
    <m/>
    <x v="1"/>
    <m/>
    <m/>
    <x v="1"/>
  </r>
  <r>
    <m/>
    <m/>
    <m/>
    <m/>
    <m/>
    <m/>
    <m/>
    <m/>
    <m/>
    <m/>
    <m/>
    <m/>
    <n v="320"/>
    <s v="Jannat Rihaana"/>
    <m/>
    <s v="Mizan Rahman"/>
    <n v="3137688330"/>
    <s v="Mazeda Begum"/>
    <n v="5866460722"/>
    <x v="0"/>
    <x v="0"/>
    <x v="6"/>
    <x v="1"/>
    <n v="14"/>
    <x v="1"/>
    <m/>
    <m/>
    <x v="0"/>
  </r>
  <r>
    <m/>
    <n v="1"/>
    <m/>
    <m/>
    <m/>
    <m/>
    <m/>
    <m/>
    <m/>
    <m/>
    <m/>
    <m/>
    <n v="321"/>
    <s v="Asiya"/>
    <m/>
    <m/>
    <m/>
    <m/>
    <m/>
    <x v="0"/>
    <x v="0"/>
    <x v="0"/>
    <x v="0"/>
    <m/>
    <x v="1"/>
    <m/>
    <m/>
    <x v="1"/>
  </r>
  <r>
    <m/>
    <n v="2"/>
    <m/>
    <m/>
    <m/>
    <m/>
    <m/>
    <m/>
    <m/>
    <m/>
    <m/>
    <m/>
    <n v="322"/>
    <s v="Labib Choudhury"/>
    <m/>
    <m/>
    <m/>
    <m/>
    <m/>
    <x v="1"/>
    <x v="0"/>
    <x v="0"/>
    <x v="0"/>
    <m/>
    <x v="1"/>
    <m/>
    <m/>
    <x v="1"/>
  </r>
  <r>
    <d v="2017-05-26T00:00:00"/>
    <n v="2"/>
    <s v="11032 Lillian Ave"/>
    <s v="Warren"/>
    <s v="MI"/>
    <n v="48089"/>
    <m/>
    <s v="Sayema Khatun"/>
    <s v="Aunty"/>
    <m/>
    <n v="13139999345"/>
    <m/>
    <n v="325"/>
    <s v="Nawaz Hussain Chowdhury"/>
    <n v="202"/>
    <s v="Jahir Hussain Chowdhury"/>
    <n v="3137075251"/>
    <s v="Shamira Aktar Chowdhury"/>
    <n v="3479937949"/>
    <x v="1"/>
    <x v="2"/>
    <x v="0"/>
    <x v="0"/>
    <m/>
    <x v="0"/>
    <n v="11"/>
    <m/>
    <x v="0"/>
  </r>
  <r>
    <d v="2018-08-17T00:00:00"/>
    <m/>
    <m/>
    <m/>
    <m/>
    <m/>
    <m/>
    <m/>
    <m/>
    <m/>
    <m/>
    <m/>
    <n v="326"/>
    <s v="FAHMIDA RAHMAN (check RG 99)"/>
    <n v="183"/>
    <s v="MAHMUDUR RAHMAN"/>
    <n v="3133189073"/>
    <m/>
    <m/>
    <x v="0"/>
    <x v="7"/>
    <x v="0"/>
    <x v="0"/>
    <m/>
    <x v="1"/>
    <m/>
    <m/>
    <x v="1"/>
  </r>
  <r>
    <d v="2019-12-15T00:00:00"/>
    <m/>
    <m/>
    <m/>
    <m/>
    <m/>
    <m/>
    <m/>
    <m/>
    <m/>
    <m/>
    <m/>
    <n v="327"/>
    <s v="KAZI YASEEN AHMED"/>
    <n v="195"/>
    <s v="KAZI MUKTADIR AHMED"/>
    <n v="9296068467"/>
    <s v="AKTER NAHER LUPA"/>
    <n v="2986350947"/>
    <x v="1"/>
    <x v="5"/>
    <x v="0"/>
    <x v="0"/>
    <m/>
    <x v="1"/>
    <m/>
    <m/>
    <x v="1"/>
  </r>
  <r>
    <d v="2016-10-27T00:00:00"/>
    <m/>
    <m/>
    <m/>
    <m/>
    <m/>
    <m/>
    <m/>
    <m/>
    <m/>
    <m/>
    <m/>
    <n v="328"/>
    <s v="MARIA RAHMAN (check RG 99)"/>
    <n v="183"/>
    <s v="MAHMUDUR RAHMAN"/>
    <n v="3133189073"/>
    <m/>
    <m/>
    <x v="0"/>
    <x v="4"/>
    <x v="0"/>
    <x v="0"/>
    <m/>
    <x v="1"/>
    <m/>
    <m/>
    <x v="1"/>
  </r>
  <r>
    <m/>
    <m/>
    <m/>
    <m/>
    <m/>
    <m/>
    <m/>
    <m/>
    <m/>
    <m/>
    <m/>
    <m/>
    <n v="329"/>
    <s v="MOHAMED ALHARIRI"/>
    <n v="181"/>
    <s v="YOWSEF ALHARIRI"/>
    <n v="3133184199"/>
    <m/>
    <m/>
    <x v="1"/>
    <x v="10"/>
    <x v="0"/>
    <x v="0"/>
    <m/>
    <x v="1"/>
    <m/>
    <m/>
    <x v="1"/>
  </r>
  <r>
    <d v="2013-08-16T00:00:00"/>
    <d v="1900-01-02T00:00:00"/>
    <m/>
    <m/>
    <m/>
    <m/>
    <m/>
    <m/>
    <m/>
    <m/>
    <m/>
    <m/>
    <n v="330"/>
    <s v="NABILA SULTANA"/>
    <n v="203"/>
    <s v="MOHD. ABDUL EBAD"/>
    <n v="3475533962"/>
    <s v="MST. SHEULY BEGOM"/>
    <n v="2124702008"/>
    <x v="0"/>
    <x v="9"/>
    <x v="0"/>
    <x v="0"/>
    <m/>
    <x v="0"/>
    <n v="12"/>
    <m/>
    <x v="0"/>
  </r>
  <r>
    <d v="2017-10-19T00:00:00"/>
    <s v="L-1(?)"/>
    <m/>
    <m/>
    <m/>
    <m/>
    <m/>
    <m/>
    <m/>
    <m/>
    <m/>
    <m/>
    <n v="331"/>
    <s v="NURUL HUDA CHOUDHURY"/>
    <n v="197"/>
    <s v="NURUZZAMAN CHOUDHURY"/>
    <n v="5868593273"/>
    <s v="SHAHINA CHOUDHURY"/>
    <n v="3137757326"/>
    <x v="1"/>
    <x v="2"/>
    <x v="0"/>
    <x v="0"/>
    <m/>
    <x v="1"/>
    <m/>
    <m/>
    <x v="1"/>
  </r>
  <r>
    <d v="2019-08-29T00:00:00"/>
    <m/>
    <m/>
    <m/>
    <m/>
    <m/>
    <m/>
    <m/>
    <m/>
    <m/>
    <m/>
    <m/>
    <n v="332"/>
    <s v="NUZHA SHOHID "/>
    <n v="204"/>
    <s v="JAKIE SHOHID"/>
    <n v="5864476936"/>
    <s v="FARJANA RAHMAN"/>
    <n v="3132903310"/>
    <x v="0"/>
    <x v="5"/>
    <x v="0"/>
    <x v="0"/>
    <m/>
    <x v="0"/>
    <n v="15"/>
    <m/>
    <x v="0"/>
  </r>
  <r>
    <d v="2014-03-10T00:00:00"/>
    <m/>
    <m/>
    <m/>
    <m/>
    <m/>
    <m/>
    <m/>
    <m/>
    <m/>
    <m/>
    <m/>
    <n v="333"/>
    <s v="SABIHA RAHMAN (check RG 99)"/>
    <n v="183"/>
    <s v="MAHMUDUR RAHMAN"/>
    <n v="3133189073"/>
    <m/>
    <m/>
    <x v="0"/>
    <x v="6"/>
    <x v="0"/>
    <x v="0"/>
    <m/>
    <x v="1"/>
    <m/>
    <m/>
    <x v="1"/>
  </r>
  <r>
    <d v="2020-12-09T00:00:00"/>
    <m/>
    <m/>
    <m/>
    <m/>
    <m/>
    <m/>
    <m/>
    <m/>
    <m/>
    <m/>
    <m/>
    <n v="334"/>
    <s v="SHOFIE SHOHID "/>
    <n v="204"/>
    <s v="JAKIE SHOHID "/>
    <n v="5864476936"/>
    <s v="FARJANA RAHMAN"/>
    <n v="3132903310"/>
    <x v="1"/>
    <x v="14"/>
    <x v="0"/>
    <x v="0"/>
    <m/>
    <x v="0"/>
    <n v="18"/>
    <m/>
    <x v="0"/>
  </r>
  <r>
    <d v="2013-08-30T00:00:00"/>
    <s v="Hifz"/>
    <m/>
    <m/>
    <m/>
    <m/>
    <m/>
    <m/>
    <m/>
    <m/>
    <m/>
    <m/>
    <n v="335"/>
    <s v="TAHMEED AL-AMIN"/>
    <n v="205"/>
    <s v="RENU AL-AMIN"/>
    <n v="2485610933"/>
    <s v="SHAMMI AL-AMIN"/>
    <n v="2392650493"/>
    <x v="1"/>
    <x v="4"/>
    <x v="4"/>
    <x v="0"/>
    <m/>
    <x v="1"/>
    <m/>
    <m/>
    <x v="1"/>
  </r>
  <r>
    <d v="2017-10-10T00:00:00"/>
    <s v="Qaida"/>
    <m/>
    <m/>
    <m/>
    <m/>
    <m/>
    <m/>
    <m/>
    <m/>
    <m/>
    <m/>
    <n v="336"/>
    <s v="ZAINAB AL-AMIN"/>
    <n v="205"/>
    <s v="RENU AL-AMIN"/>
    <n v="2485610933"/>
    <s v="SHAMMI AL-AMIN"/>
    <n v="2392650493"/>
    <x v="0"/>
    <x v="2"/>
    <x v="3"/>
    <x v="1"/>
    <n v="21"/>
    <x v="1"/>
    <m/>
    <m/>
    <x v="0"/>
  </r>
  <r>
    <d v="2020-05-05T00:00:00"/>
    <m/>
    <m/>
    <m/>
    <m/>
    <m/>
    <m/>
    <m/>
    <m/>
    <m/>
    <m/>
    <m/>
    <n v="337"/>
    <s v="Siyam Kasam"/>
    <n v="206"/>
    <s v="Abul Kasam"/>
    <n v="7477770364"/>
    <s v="Shamima Akter"/>
    <n v="7473883761"/>
    <x v="1"/>
    <x v="14"/>
    <x v="0"/>
    <x v="0"/>
    <m/>
    <x v="1"/>
    <m/>
    <m/>
    <x v="1"/>
  </r>
  <r>
    <d v="2016-05-11T00:00:00"/>
    <m/>
    <m/>
    <m/>
    <m/>
    <m/>
    <m/>
    <m/>
    <m/>
    <m/>
    <m/>
    <m/>
    <n v="338"/>
    <s v="Adil Ahmed"/>
    <n v="207"/>
    <s v="Khalid Ahmed"/>
    <n v="3134559518"/>
    <s v="Mahbuba Mily"/>
    <n v="9173041330"/>
    <x v="1"/>
    <x v="4"/>
    <x v="3"/>
    <x v="0"/>
    <m/>
    <x v="0"/>
    <n v="16"/>
    <m/>
    <x v="0"/>
  </r>
  <r>
    <d v="2022-06-30T00:00:00"/>
    <s v="Qaida"/>
    <m/>
    <m/>
    <m/>
    <m/>
    <m/>
    <m/>
    <m/>
    <m/>
    <m/>
    <m/>
    <n v="339"/>
    <s v="Fardeen Ahmed"/>
    <n v="207"/>
    <s v="Khalid Ahmed"/>
    <n v="3134559518"/>
    <s v="Mahbuba Mily"/>
    <n v="9173041330"/>
    <x v="1"/>
    <x v="14"/>
    <x v="3"/>
    <x v="0"/>
    <m/>
    <x v="0"/>
    <n v="17"/>
    <m/>
    <x v="0"/>
  </r>
  <r>
    <d v="2015-09-08T00:00:00"/>
    <m/>
    <m/>
    <m/>
    <m/>
    <m/>
    <m/>
    <m/>
    <m/>
    <m/>
    <m/>
    <m/>
    <n v="340"/>
    <s v="Ishmam Imam"/>
    <n v="208"/>
    <s v="Syeda Khanom"/>
    <n v="9294347493"/>
    <s v="Syeda Khanom"/>
    <n v="9294348222"/>
    <x v="1"/>
    <x v="1"/>
    <x v="6"/>
    <x v="1"/>
    <n v="14"/>
    <x v="1"/>
    <m/>
    <m/>
    <x v="0"/>
  </r>
  <r>
    <d v="2010-02-03T00:00:00"/>
    <s v="Hifz"/>
    <m/>
    <m/>
    <m/>
    <m/>
    <m/>
    <m/>
    <m/>
    <m/>
    <m/>
    <m/>
    <n v="341"/>
    <s v="Abdul Aziz Bah"/>
    <n v="209"/>
    <s v="Omar Bah"/>
    <n v="7342057769"/>
    <s v="Teddy Jawo Bah"/>
    <n v="2487970507"/>
    <x v="1"/>
    <x v="12"/>
    <x v="1"/>
    <x v="1"/>
    <n v="14"/>
    <x v="1"/>
    <m/>
    <m/>
    <x v="0"/>
  </r>
  <r>
    <d v="2013-12-08T00:00:00"/>
    <m/>
    <m/>
    <m/>
    <m/>
    <m/>
    <m/>
    <m/>
    <m/>
    <m/>
    <m/>
    <m/>
    <n v="342"/>
    <s v="Ismael Bah"/>
    <n v="209"/>
    <s v="Omar Bah"/>
    <n v="7342057769"/>
    <s v="Teddy Jawo Bah"/>
    <n v="2487970507"/>
    <x v="1"/>
    <x v="10"/>
    <x v="5"/>
    <x v="1"/>
    <n v="14"/>
    <x v="1"/>
    <m/>
    <m/>
    <x v="0"/>
  </r>
  <r>
    <d v="2018-09-30T00:00:00"/>
    <m/>
    <m/>
    <m/>
    <m/>
    <m/>
    <m/>
    <m/>
    <m/>
    <m/>
    <m/>
    <m/>
    <n v="343"/>
    <s v="Abdou Rahman Bah"/>
    <n v="209"/>
    <s v="Omar Bah"/>
    <n v="7342057769"/>
    <s v="Teddy Jawo Bah"/>
    <n v="2487970507"/>
    <x v="1"/>
    <x v="5"/>
    <x v="3"/>
    <x v="1"/>
    <n v="13"/>
    <x v="1"/>
    <m/>
    <m/>
    <x v="0"/>
  </r>
  <r>
    <d v="2018-09-01T00:00:00"/>
    <m/>
    <m/>
    <m/>
    <m/>
    <m/>
    <m/>
    <m/>
    <m/>
    <m/>
    <m/>
    <m/>
    <n v="344"/>
    <s v="Wassim Al Hariri"/>
    <n v="181"/>
    <s v="YOWSEF ALHARIRI"/>
    <n v="3133184199"/>
    <m/>
    <m/>
    <x v="1"/>
    <x v="5"/>
    <x v="3"/>
    <x v="0"/>
    <m/>
    <x v="1"/>
    <m/>
    <m/>
    <x v="1"/>
  </r>
  <r>
    <d v="2018-04-03T00:00:00"/>
    <m/>
    <m/>
    <m/>
    <m/>
    <m/>
    <m/>
    <m/>
    <m/>
    <m/>
    <m/>
    <m/>
    <n v="345"/>
    <s v="Amira Alim Zaynab"/>
    <n v="210"/>
    <s v="Abdul Alim Tushar"/>
    <n v="2487815560"/>
    <s v="Tania Sultana"/>
    <n v="3137688330"/>
    <x v="0"/>
    <x v="7"/>
    <x v="3"/>
    <x v="1"/>
    <n v="3"/>
    <x v="1"/>
    <m/>
    <m/>
    <x v="0"/>
  </r>
  <r>
    <d v="2019-05-13T00:00:00"/>
    <m/>
    <m/>
    <m/>
    <m/>
    <m/>
    <m/>
    <m/>
    <m/>
    <m/>
    <m/>
    <m/>
    <n v="346"/>
    <s v="Arham Noor"/>
    <n v="211"/>
    <s v="Akbar Noor"/>
    <n v="3134439011"/>
    <s v="Mumina Noor"/>
    <n v="5864389990"/>
    <x v="1"/>
    <x v="0"/>
    <x v="3"/>
    <x v="1"/>
    <n v="12"/>
    <x v="1"/>
    <m/>
    <m/>
    <x v="0"/>
  </r>
  <r>
    <m/>
    <s v="Hifz"/>
    <m/>
    <m/>
    <m/>
    <m/>
    <m/>
    <m/>
    <m/>
    <m/>
    <m/>
    <m/>
    <n v="347"/>
    <s v="Saif Rahman"/>
    <n v="212"/>
    <s v="Sarifur Rahman"/>
    <n v="3134194287"/>
    <s v="Tamama Rahman"/>
    <n v="3134194287"/>
    <x v="1"/>
    <x v="0"/>
    <x v="1"/>
    <x v="1"/>
    <n v="2"/>
    <x v="1"/>
    <m/>
    <m/>
    <x v="0"/>
  </r>
  <r>
    <d v="2020-02-25T00:00:00"/>
    <m/>
    <m/>
    <m/>
    <m/>
    <m/>
    <m/>
    <m/>
    <m/>
    <m/>
    <m/>
    <m/>
    <n v="348"/>
    <s v="Sawda Nusaybah"/>
    <n v="213"/>
    <s v="Fahim Talukdar"/>
    <n v="3136030394"/>
    <s v="Salma Begum"/>
    <n v="5864954739"/>
    <x v="0"/>
    <x v="3"/>
    <x v="3"/>
    <x v="1"/>
    <n v="5"/>
    <x v="1"/>
    <m/>
    <m/>
    <x v="0"/>
  </r>
  <r>
    <d v="2020-02-25T00:00:00"/>
    <m/>
    <m/>
    <m/>
    <m/>
    <m/>
    <m/>
    <m/>
    <m/>
    <m/>
    <m/>
    <m/>
    <n v="349"/>
    <s v="Safa Nusaybah"/>
    <n v="213"/>
    <s v="Fahim Talukdar"/>
    <n v="3136030394"/>
    <s v="Salma Begum"/>
    <n v="5864954739"/>
    <x v="0"/>
    <x v="14"/>
    <x v="3"/>
    <x v="1"/>
    <n v="2"/>
    <x v="1"/>
    <m/>
    <m/>
    <x v="0"/>
  </r>
  <r>
    <m/>
    <m/>
    <m/>
    <m/>
    <m/>
    <m/>
    <m/>
    <m/>
    <m/>
    <m/>
    <m/>
    <m/>
    <n v="350"/>
    <s v="Tazkiya Chowdhury"/>
    <n v="97"/>
    <s v="Abdus Samad Chowdhury"/>
    <n v="3477127929"/>
    <s v="Takrima Z Sonia"/>
    <n v="5513267434"/>
    <x v="0"/>
    <x v="0"/>
    <x v="4"/>
    <x v="1"/>
    <n v="17"/>
    <x v="1"/>
    <m/>
    <m/>
    <x v="0"/>
  </r>
  <r>
    <m/>
    <m/>
    <m/>
    <m/>
    <m/>
    <m/>
    <m/>
    <m/>
    <m/>
    <m/>
    <m/>
    <m/>
    <n v="351"/>
    <s v="Tasmia Rahman"/>
    <n v="212"/>
    <s v="Sarifur Rahman"/>
    <n v="3134194287"/>
    <s v="Tamama Rahman"/>
    <n v="3134194287"/>
    <x v="0"/>
    <x v="0"/>
    <x v="3"/>
    <x v="1"/>
    <n v="20"/>
    <x v="1"/>
    <m/>
    <m/>
    <x v="0"/>
  </r>
  <r>
    <m/>
    <m/>
    <m/>
    <m/>
    <m/>
    <m/>
    <m/>
    <m/>
    <m/>
    <m/>
    <m/>
    <m/>
    <n v="352"/>
    <s v="Maha Rahman"/>
    <n v="212"/>
    <s v="Sarifur Rahman"/>
    <n v="3134194287"/>
    <s v="Tamama Rahman"/>
    <n v="3134194287"/>
    <x v="0"/>
    <x v="0"/>
    <x v="3"/>
    <x v="1"/>
    <n v="6"/>
    <x v="1"/>
    <m/>
    <m/>
    <x v="0"/>
  </r>
  <r>
    <m/>
    <s v="Qaida"/>
    <m/>
    <m/>
    <m/>
    <m/>
    <m/>
    <m/>
    <m/>
    <m/>
    <m/>
    <m/>
    <n v="353"/>
    <s v="Muhammad Tawaf Ahmed"/>
    <n v="214"/>
    <s v="Simon Ahmed"/>
    <n v="3476132874"/>
    <s v="Yasmin Begum"/>
    <m/>
    <x v="1"/>
    <x v="3"/>
    <x v="3"/>
    <x v="1"/>
    <n v="15"/>
    <x v="0"/>
    <n v="50"/>
    <m/>
    <x v="0"/>
  </r>
  <r>
    <m/>
    <s v="Quran"/>
    <m/>
    <m/>
    <m/>
    <m/>
    <m/>
    <m/>
    <m/>
    <m/>
    <m/>
    <m/>
    <n v="354"/>
    <s v="Fariha Siraji"/>
    <n v="215"/>
    <s v="Md Foysol Siraji"/>
    <n v="3475936362"/>
    <s v="Rabaka Begum"/>
    <n v="3133279557"/>
    <x v="0"/>
    <x v="6"/>
    <x v="1"/>
    <x v="1"/>
    <n v="16"/>
    <x v="1"/>
    <m/>
    <m/>
    <x v="0"/>
  </r>
  <r>
    <m/>
    <s v="Qaida"/>
    <m/>
    <m/>
    <m/>
    <m/>
    <m/>
    <m/>
    <m/>
    <m/>
    <m/>
    <m/>
    <n v="355"/>
    <s v="Abdullah Al Ruhan"/>
    <n v="216"/>
    <s v="Abdullah Al Mahbub"/>
    <n v="5863444025"/>
    <s v="Sifat Hossain"/>
    <n v="5866463563"/>
    <x v="1"/>
    <x v="12"/>
    <x v="5"/>
    <x v="1"/>
    <n v="50"/>
    <x v="1"/>
    <m/>
    <m/>
    <x v="0"/>
  </r>
  <r>
    <m/>
    <m/>
    <m/>
    <m/>
    <m/>
    <m/>
    <m/>
    <m/>
    <m/>
    <m/>
    <m/>
    <m/>
    <n v="356"/>
    <s v="Sanaz Hussain"/>
    <n v="217"/>
    <s v="Sabbir Hussain"/>
    <n v="3137578149"/>
    <s v="Shammie Begum"/>
    <n v="2485547291"/>
    <x v="0"/>
    <x v="5"/>
    <x v="3"/>
    <x v="1"/>
    <n v="17"/>
    <x v="1"/>
    <m/>
    <m/>
    <x v="0"/>
  </r>
  <r>
    <m/>
    <m/>
    <m/>
    <m/>
    <m/>
    <m/>
    <m/>
    <m/>
    <m/>
    <m/>
    <m/>
    <m/>
    <n v="357"/>
    <s v="Sajeeda Rahman"/>
    <n v="99"/>
    <s v="Mahmudur Rahman"/>
    <n v="13133189073"/>
    <s v="Koly Rahman"/>
    <n v="13133189073"/>
    <x v="0"/>
    <x v="12"/>
    <x v="1"/>
    <x v="0"/>
    <m/>
    <x v="1"/>
    <m/>
    <m/>
    <x v="1"/>
  </r>
  <r>
    <m/>
    <m/>
    <m/>
    <m/>
    <m/>
    <m/>
    <m/>
    <m/>
    <m/>
    <m/>
    <m/>
    <m/>
    <n v="358"/>
    <s v="Ruhama Noorah"/>
    <n v="73"/>
    <s v="Mohammed Sirajul Islam"/>
    <n v="3134232232"/>
    <s v="Nilufa Begum"/>
    <n v="3137880027"/>
    <x v="0"/>
    <x v="0"/>
    <x v="3"/>
    <x v="1"/>
    <n v="22"/>
    <x v="1"/>
    <m/>
    <m/>
    <x v="0"/>
  </r>
  <r>
    <m/>
    <m/>
    <m/>
    <m/>
    <m/>
    <m/>
    <m/>
    <m/>
    <m/>
    <m/>
    <m/>
    <m/>
    <n v="359"/>
    <s v="Tazrin Haque Ooma"/>
    <n v="221"/>
    <s v="Md Tozammel Haque"/>
    <n v="2132496790"/>
    <s v="Mst. Progga Laboni"/>
    <n v="2133361191"/>
    <x v="0"/>
    <x v="9"/>
    <x v="3"/>
    <x v="0"/>
    <m/>
    <x v="0"/>
    <n v="50"/>
    <m/>
    <x v="0"/>
  </r>
  <r>
    <m/>
    <m/>
    <m/>
    <m/>
    <m/>
    <m/>
    <m/>
    <m/>
    <m/>
    <m/>
    <m/>
    <m/>
    <n v="360"/>
    <s v="Alifa Elham"/>
    <m/>
    <m/>
    <n v="5864572936"/>
    <m/>
    <n v="3137071965"/>
    <x v="0"/>
    <x v="0"/>
    <x v="1"/>
    <x v="1"/>
    <n v="17"/>
    <x v="1"/>
    <m/>
    <m/>
    <x v="0"/>
  </r>
  <r>
    <m/>
    <m/>
    <m/>
    <m/>
    <m/>
    <m/>
    <m/>
    <m/>
    <m/>
    <m/>
    <m/>
    <m/>
    <n v="361"/>
    <s v="Waheebah Hussain"/>
    <n v="220"/>
    <s v="Muhammad Hussain"/>
    <n v="3134552916"/>
    <s v="Toheda Parvin"/>
    <n v="5862775685"/>
    <x v="0"/>
    <x v="0"/>
    <x v="5"/>
    <x v="1"/>
    <n v="50"/>
    <x v="1"/>
    <m/>
    <m/>
    <x v="0"/>
  </r>
  <r>
    <m/>
    <m/>
    <m/>
    <m/>
    <m/>
    <m/>
    <m/>
    <m/>
    <m/>
    <m/>
    <m/>
    <m/>
    <n v="362"/>
    <s v="Arshan Rahman"/>
    <n v="222"/>
    <s v="Ahmedur Rahman"/>
    <m/>
    <s v="Shamima Rahman"/>
    <n v="2124705523"/>
    <x v="1"/>
    <x v="6"/>
    <x v="1"/>
    <x v="0"/>
    <m/>
    <x v="0"/>
    <n v="50"/>
    <m/>
    <x v="0"/>
  </r>
  <r>
    <m/>
    <m/>
    <m/>
    <m/>
    <m/>
    <m/>
    <m/>
    <m/>
    <m/>
    <m/>
    <m/>
    <m/>
    <n v="363"/>
    <s v="Kimiya Shahadat Azam"/>
    <n v="218"/>
    <s v="Mohammad Shafiul Azam"/>
    <n v="5862021959"/>
    <s v="Nabila Arifin"/>
    <n v="5863821204"/>
    <x v="1"/>
    <x v="1"/>
    <x v="1"/>
    <x v="1"/>
    <n v="50"/>
    <x v="1"/>
    <m/>
    <m/>
    <x v="0"/>
  </r>
  <r>
    <m/>
    <m/>
    <m/>
    <m/>
    <m/>
    <m/>
    <m/>
    <m/>
    <m/>
    <m/>
    <m/>
    <m/>
    <n v="364"/>
    <s v="Keyaan Azam"/>
    <n v="218"/>
    <s v="Mohammad Shafiul Azam"/>
    <n v="5862021959"/>
    <s v="Nabila Arifin"/>
    <n v="5863821204"/>
    <x v="1"/>
    <x v="1"/>
    <x v="2"/>
    <x v="1"/>
    <n v="50"/>
    <x v="1"/>
    <m/>
    <m/>
    <x v="0"/>
  </r>
  <r>
    <m/>
    <m/>
    <m/>
    <m/>
    <m/>
    <m/>
    <m/>
    <m/>
    <m/>
    <m/>
    <m/>
    <m/>
    <n v="365"/>
    <s v="Ayesha Rahman"/>
    <n v="219"/>
    <s v="Saifur Rahman"/>
    <n v="9145652492"/>
    <s v="Ema Begum"/>
    <n v="3136619625"/>
    <x v="0"/>
    <x v="7"/>
    <x v="3"/>
    <x v="1"/>
    <n v="50"/>
    <x v="1"/>
    <m/>
    <m/>
    <x v="0"/>
  </r>
  <r>
    <m/>
    <m/>
    <m/>
    <m/>
    <m/>
    <m/>
    <m/>
    <m/>
    <m/>
    <m/>
    <m/>
    <m/>
    <n v="366"/>
    <s v="Kaifa Eshal"/>
    <m/>
    <m/>
    <n v="5864572936"/>
    <m/>
    <n v="3137071965"/>
    <x v="0"/>
    <x v="0"/>
    <x v="4"/>
    <x v="1"/>
    <n v="50"/>
    <x v="1"/>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D4FCC7-2222-4104-90C1-0208B760D1A2}" name="PivotTable2" cacheId="9" applyNumberFormats="0" applyBorderFormats="0" applyFontFormats="0" applyPatternFormats="0" applyAlignmentFormats="0" applyWidthHeightFormats="1" dataCaption="Values" showError="1" updatedVersion="8" minRefreshableVersion="3" useAutoFormatting="1" itemPrintTitles="1" mergeItem="1" createdVersion="8" indent="0" outline="1" outlineData="1" chartFormat="72" rowHeaderCaption="Status">
  <location ref="D4:E19" firstHeaderRow="1" firstDataRow="1" firstDataCol="1" rowPageCount="2" colPageCount="1"/>
  <pivotFields count="28">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axis="axisRow" showAll="0">
      <items count="6">
        <item x="0"/>
        <item x="1"/>
        <item m="1" x="3"/>
        <item m="1" x="4"/>
        <item x="2"/>
        <item t="default"/>
      </items>
    </pivotField>
    <pivotField showAll="0"/>
    <pivotField axis="axisRow" showAll="0">
      <items count="8">
        <item x="2"/>
        <item x="1"/>
        <item x="4"/>
        <item x="3"/>
        <item x="6"/>
        <item x="5"/>
        <item x="0"/>
        <item t="default"/>
      </items>
    </pivotField>
    <pivotField axis="axisPage" multipleItemSelectionAllowed="1" showAll="0">
      <items count="5">
        <item m="1" x="3"/>
        <item h="1" x="0"/>
        <item x="1"/>
        <item h="1" x="2"/>
        <item t="default"/>
      </items>
    </pivotField>
    <pivotField multipleItemSelectionAllowed="1" showAll="0"/>
    <pivotField showAll="0" sortType="descending">
      <items count="5">
        <item h="1" x="2"/>
        <item x="0"/>
        <item h="1" m="1" x="3"/>
        <item sd="0" x="1"/>
        <item t="default"/>
      </items>
    </pivotField>
    <pivotField multipleItemSelectionAllowed="1" showAll="0"/>
    <pivotField showAll="0"/>
    <pivotField axis="axisPage" multipleItemSelectionAllowed="1" showAll="0">
      <items count="5">
        <item h="1" m="1" x="3"/>
        <item x="0"/>
        <item h="1" x="1"/>
        <item h="1" x="2"/>
        <item t="default"/>
      </items>
    </pivotField>
  </pivotFields>
  <rowFields count="2">
    <field x="19"/>
    <field x="21"/>
  </rowFields>
  <rowItems count="15">
    <i>
      <x/>
    </i>
    <i r="1">
      <x/>
    </i>
    <i r="1">
      <x v="1"/>
    </i>
    <i r="1">
      <x v="2"/>
    </i>
    <i r="1">
      <x v="3"/>
    </i>
    <i r="1">
      <x v="4"/>
    </i>
    <i r="1">
      <x v="5"/>
    </i>
    <i>
      <x v="1"/>
    </i>
    <i r="1">
      <x/>
    </i>
    <i r="1">
      <x v="1"/>
    </i>
    <i r="1">
      <x v="2"/>
    </i>
    <i r="1">
      <x v="3"/>
    </i>
    <i r="1">
      <x v="4"/>
    </i>
    <i r="1">
      <x v="5"/>
    </i>
    <i t="grand">
      <x/>
    </i>
  </rowItems>
  <colItems count="1">
    <i/>
  </colItems>
  <pageFields count="2">
    <pageField fld="27" hier="-1"/>
    <pageField fld="22" hier="-1"/>
  </pageFields>
  <dataFields count="1">
    <dataField name="Count of SN" fld="12" subtotal="count" baseField="19" baseItem="0"/>
  </dataFields>
  <formats count="43">
    <format dxfId="177">
      <pivotArea type="origin" dataOnly="0" labelOnly="1" outline="0" fieldPosition="0"/>
    </format>
    <format dxfId="176">
      <pivotArea field="19" type="button" dataOnly="0" labelOnly="1" outline="0" axis="axisRow" fieldPosition="0"/>
    </format>
    <format dxfId="175">
      <pivotArea type="topRight" dataOnly="0" labelOnly="1" outline="0" fieldPosition="0"/>
    </format>
    <format dxfId="174">
      <pivotArea grandRow="1" outline="0" collapsedLevelsAreSubtotals="1" fieldPosition="0"/>
    </format>
    <format dxfId="173">
      <pivotArea dataOnly="0" labelOnly="1" outline="0" axis="axisValues" fieldPosition="0"/>
    </format>
    <format dxfId="172">
      <pivotArea type="all" dataOnly="0" outline="0" fieldPosition="0"/>
    </format>
    <format dxfId="171">
      <pivotArea outline="0" collapsedLevelsAreSubtotals="1" fieldPosition="0"/>
    </format>
    <format dxfId="170">
      <pivotArea dataOnly="0" labelOnly="1" grandRow="1" outline="0" fieldPosition="0"/>
    </format>
    <format dxfId="169">
      <pivotArea dataOnly="0" labelOnly="1" outline="0" axis="axisValues" fieldPosition="0"/>
    </format>
    <format dxfId="168">
      <pivotArea type="all" dataOnly="0" outline="0" fieldPosition="0"/>
    </format>
    <format dxfId="167">
      <pivotArea outline="0" collapsedLevelsAreSubtotals="1" fieldPosition="0"/>
    </format>
    <format dxfId="166">
      <pivotArea type="origin" dataOnly="0" labelOnly="1" outline="0" fieldPosition="0"/>
    </format>
    <format dxfId="165">
      <pivotArea field="22" type="button" dataOnly="0" labelOnly="1" outline="0" axis="axisPage" fieldPosition="1"/>
    </format>
    <format dxfId="164">
      <pivotArea field="24" type="button" dataOnly="0" labelOnly="1" outline="0"/>
    </format>
    <format dxfId="163">
      <pivotArea type="topRight" dataOnly="0" labelOnly="1" outline="0" fieldPosition="0"/>
    </format>
    <format dxfId="162">
      <pivotArea field="19" type="button" dataOnly="0" labelOnly="1" outline="0" axis="axisRow" fieldPosition="0"/>
    </format>
    <format dxfId="161">
      <pivotArea dataOnly="0" labelOnly="1" grandRow="1" outline="0" fieldPosition="0"/>
    </format>
    <format dxfId="160">
      <pivotArea dataOnly="0" labelOnly="1" grandCol="1" outline="0" fieldPosition="0"/>
    </format>
    <format dxfId="159">
      <pivotArea field="22" type="button" dataOnly="0" labelOnly="1" outline="0" axis="axisPage" fieldPosition="1"/>
    </format>
    <format dxfId="158">
      <pivotArea type="all" dataOnly="0" outline="0" fieldPosition="0"/>
    </format>
    <format dxfId="157">
      <pivotArea outline="0" collapsedLevelsAreSubtotals="1" fieldPosition="0"/>
    </format>
    <format dxfId="156">
      <pivotArea field="19" type="button" dataOnly="0" labelOnly="1" outline="0" axis="axisRow" fieldPosition="0"/>
    </format>
    <format dxfId="155">
      <pivotArea dataOnly="0" labelOnly="1" fieldPosition="0">
        <references count="1">
          <reference field="19" count="2">
            <x v="0"/>
            <x v="1"/>
          </reference>
        </references>
      </pivotArea>
    </format>
    <format dxfId="154">
      <pivotArea dataOnly="0" labelOnly="1" grandRow="1" outline="0" fieldPosition="0"/>
    </format>
    <format dxfId="153">
      <pivotArea dataOnly="0" labelOnly="1" fieldPosition="0">
        <references count="2">
          <reference field="19" count="1" selected="0">
            <x v="0"/>
          </reference>
          <reference field="21" count="0"/>
        </references>
      </pivotArea>
    </format>
    <format dxfId="152">
      <pivotArea dataOnly="0" labelOnly="1" fieldPosition="0">
        <references count="2">
          <reference field="19" count="1" selected="0">
            <x v="1"/>
          </reference>
          <reference field="21" count="0"/>
        </references>
      </pivotArea>
    </format>
    <format dxfId="151">
      <pivotArea dataOnly="0" labelOnly="1" outline="0" axis="axisValues" fieldPosition="0"/>
    </format>
    <format dxfId="150">
      <pivotArea type="all" dataOnly="0" outline="0" fieldPosition="0"/>
    </format>
    <format dxfId="149">
      <pivotArea outline="0" collapsedLevelsAreSubtotals="1" fieldPosition="0"/>
    </format>
    <format dxfId="148">
      <pivotArea field="19" type="button" dataOnly="0" labelOnly="1" outline="0" axis="axisRow" fieldPosition="0"/>
    </format>
    <format dxfId="147">
      <pivotArea dataOnly="0" labelOnly="1" fieldPosition="0">
        <references count="1">
          <reference field="19" count="2">
            <x v="0"/>
            <x v="1"/>
          </reference>
        </references>
      </pivotArea>
    </format>
    <format dxfId="146">
      <pivotArea dataOnly="0" labelOnly="1" grandRow="1" outline="0" fieldPosition="0"/>
    </format>
    <format dxfId="145">
      <pivotArea dataOnly="0" labelOnly="1" fieldPosition="0">
        <references count="2">
          <reference field="19" count="1" selected="0">
            <x v="0"/>
          </reference>
          <reference field="21" count="0"/>
        </references>
      </pivotArea>
    </format>
    <format dxfId="144">
      <pivotArea dataOnly="0" labelOnly="1" fieldPosition="0">
        <references count="2">
          <reference field="19" count="1" selected="0">
            <x v="1"/>
          </reference>
          <reference field="21" count="0"/>
        </references>
      </pivotArea>
    </format>
    <format dxfId="143">
      <pivotArea dataOnly="0" labelOnly="1" outline="0" axis="axisValues" fieldPosition="0"/>
    </format>
    <format dxfId="142">
      <pivotArea type="all" dataOnly="0" outline="0" fieldPosition="0"/>
    </format>
    <format dxfId="141">
      <pivotArea outline="0" collapsedLevelsAreSubtotals="1" fieldPosition="0"/>
    </format>
    <format dxfId="140">
      <pivotArea field="19" type="button" dataOnly="0" labelOnly="1" outline="0" axis="axisRow" fieldPosition="0"/>
    </format>
    <format dxfId="139">
      <pivotArea dataOnly="0" labelOnly="1" fieldPosition="0">
        <references count="1">
          <reference field="19" count="2">
            <x v="0"/>
            <x v="1"/>
          </reference>
        </references>
      </pivotArea>
    </format>
    <format dxfId="138">
      <pivotArea dataOnly="0" labelOnly="1" grandRow="1" outline="0" fieldPosition="0"/>
    </format>
    <format dxfId="137">
      <pivotArea dataOnly="0" labelOnly="1" fieldPosition="0">
        <references count="2">
          <reference field="19" count="1" selected="0">
            <x v="0"/>
          </reference>
          <reference field="21" count="0"/>
        </references>
      </pivotArea>
    </format>
    <format dxfId="136">
      <pivotArea dataOnly="0" labelOnly="1" fieldPosition="0">
        <references count="2">
          <reference field="19" count="1" selected="0">
            <x v="1"/>
          </reference>
          <reference field="21" count="0"/>
        </references>
      </pivotArea>
    </format>
    <format dxfId="135">
      <pivotArea dataOnly="0" labelOnly="1" outline="0" axis="axisValues" fieldPosition="0"/>
    </format>
  </formats>
  <pivotTableStyleInfo name="PivotStyleLight16" showRowHeaders="1" showColHeaders="1" showRowStripes="0" showColStripes="1"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85C7B8-5571-4B04-AB92-7B3C2227D09F}" name="PivotTable5" cacheId="9" applyNumberFormats="0" applyBorderFormats="0" applyFontFormats="0" applyPatternFormats="0" applyAlignmentFormats="0" applyWidthHeightFormats="1" dataCaption="Values" showError="1" updatedVersion="8" minRefreshableVersion="3" useAutoFormatting="1" itemPrintTitles="1" mergeItem="1" createdVersion="8" indent="0" outline="1" outlineData="1" chartFormat="72" rowHeaderCaption="Status">
  <location ref="J3:Q22" firstHeaderRow="1" firstDataRow="3" firstDataCol="1"/>
  <pivotFields count="28">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axis="axisRow" showAll="0">
      <items count="6">
        <item x="0"/>
        <item x="1"/>
        <item m="1" x="3"/>
        <item m="1" x="4"/>
        <item x="2"/>
        <item t="default"/>
      </items>
    </pivotField>
    <pivotField showAll="0">
      <items count="17">
        <item m="1" x="15"/>
        <item x="12"/>
        <item x="11"/>
        <item x="13"/>
        <item x="5"/>
        <item x="7"/>
        <item x="2"/>
        <item x="4"/>
        <item x="1"/>
        <item x="6"/>
        <item x="9"/>
        <item x="10"/>
        <item x="8"/>
        <item x="3"/>
        <item x="14"/>
        <item x="0"/>
        <item t="default"/>
      </items>
    </pivotField>
    <pivotField axis="axisRow" showAll="0">
      <items count="8">
        <item x="2"/>
        <item x="1"/>
        <item x="4"/>
        <item x="3"/>
        <item x="6"/>
        <item x="5"/>
        <item x="0"/>
        <item t="default"/>
      </items>
    </pivotField>
    <pivotField axis="axisCol" showAll="0">
      <items count="5">
        <item m="1" x="3"/>
        <item x="0"/>
        <item x="1"/>
        <item x="2"/>
        <item t="default"/>
      </items>
    </pivotField>
    <pivotField multipleItemSelectionAllowed="1" showAll="0"/>
    <pivotField axis="axisCol" showAll="0" sortType="descending">
      <items count="5">
        <item h="1" x="2"/>
        <item x="0"/>
        <item h="1" m="1" x="3"/>
        <item sd="0" x="1"/>
        <item t="default"/>
      </items>
    </pivotField>
    <pivotField multipleItemSelectionAllowed="1" showAll="0"/>
    <pivotField showAll="0"/>
    <pivotField multipleItemSelectionAllowed="1" showAll="0"/>
  </pivotFields>
  <rowFields count="2">
    <field x="19"/>
    <field x="21"/>
  </rowFields>
  <rowItems count="17">
    <i>
      <x/>
    </i>
    <i r="1">
      <x/>
    </i>
    <i r="1">
      <x v="1"/>
    </i>
    <i r="1">
      <x v="2"/>
    </i>
    <i r="1">
      <x v="3"/>
    </i>
    <i r="1">
      <x v="4"/>
    </i>
    <i r="1">
      <x v="5"/>
    </i>
    <i r="1">
      <x v="6"/>
    </i>
    <i>
      <x v="1"/>
    </i>
    <i r="1">
      <x/>
    </i>
    <i r="1">
      <x v="1"/>
    </i>
    <i r="1">
      <x v="2"/>
    </i>
    <i r="1">
      <x v="3"/>
    </i>
    <i r="1">
      <x v="4"/>
    </i>
    <i r="1">
      <x v="5"/>
    </i>
    <i r="1">
      <x v="6"/>
    </i>
    <i t="grand">
      <x/>
    </i>
  </rowItems>
  <colFields count="2">
    <field x="22"/>
    <field x="24"/>
  </colFields>
  <colItems count="7">
    <i>
      <x v="1"/>
      <x v="1"/>
    </i>
    <i r="1">
      <x v="3"/>
    </i>
    <i t="default">
      <x v="1"/>
    </i>
    <i>
      <x v="2"/>
      <x v="1"/>
    </i>
    <i r="1">
      <x v="3"/>
    </i>
    <i t="default">
      <x v="2"/>
    </i>
    <i t="grand">
      <x/>
    </i>
  </colItems>
  <dataFields count="1">
    <dataField name="Count of SN" fld="12" subtotal="count" baseField="20" baseItem="0"/>
  </dataFields>
  <formats count="46">
    <format dxfId="223">
      <pivotArea type="origin" dataOnly="0" labelOnly="1" outline="0" fieldPosition="0"/>
    </format>
    <format dxfId="222">
      <pivotArea field="19" type="button" dataOnly="0" labelOnly="1" outline="0" axis="axisRow" fieldPosition="0"/>
    </format>
    <format dxfId="221">
      <pivotArea type="topRight" dataOnly="0" labelOnly="1" outline="0" fieldPosition="0"/>
    </format>
    <format dxfId="220">
      <pivotArea grandRow="1" outline="0" collapsedLevelsAreSubtotals="1" fieldPosition="0"/>
    </format>
    <format dxfId="219">
      <pivotArea dataOnly="0" labelOnly="1" outline="0" axis="axisValues" fieldPosition="0"/>
    </format>
    <format dxfId="218">
      <pivotArea type="all" dataOnly="0" outline="0" fieldPosition="0"/>
    </format>
    <format dxfId="217">
      <pivotArea outline="0" collapsedLevelsAreSubtotals="1" fieldPosition="0"/>
    </format>
    <format dxfId="216">
      <pivotArea dataOnly="0" labelOnly="1" grandRow="1" outline="0" fieldPosition="0"/>
    </format>
    <format dxfId="215">
      <pivotArea dataOnly="0" labelOnly="1" outline="0" axis="axisValues" fieldPosition="0"/>
    </format>
    <format dxfId="214">
      <pivotArea type="all" dataOnly="0" outline="0" fieldPosition="0"/>
    </format>
    <format dxfId="213">
      <pivotArea outline="0" collapsedLevelsAreSubtotals="1" fieldPosition="0"/>
    </format>
    <format dxfId="212">
      <pivotArea type="origin" dataOnly="0" labelOnly="1" outline="0" fieldPosition="0"/>
    </format>
    <format dxfId="211">
      <pivotArea field="22" type="button" dataOnly="0" labelOnly="1" outline="0" axis="axisCol" fieldPosition="0"/>
    </format>
    <format dxfId="210">
      <pivotArea field="24" type="button" dataOnly="0" labelOnly="1" outline="0" axis="axisCol" fieldPosition="1"/>
    </format>
    <format dxfId="209">
      <pivotArea type="topRight" dataOnly="0" labelOnly="1" outline="0" fieldPosition="0"/>
    </format>
    <format dxfId="208">
      <pivotArea field="19" type="button" dataOnly="0" labelOnly="1" outline="0" axis="axisRow" fieldPosition="0"/>
    </format>
    <format dxfId="207">
      <pivotArea dataOnly="0" labelOnly="1" grandRow="1" outline="0" fieldPosition="0"/>
    </format>
    <format dxfId="206">
      <pivotArea dataOnly="0" labelOnly="1" grandCol="1" outline="0" fieldPosition="0"/>
    </format>
    <format dxfId="205">
      <pivotArea field="22" type="button" dataOnly="0" labelOnly="1" outline="0" axis="axisCol" fieldPosition="0"/>
    </format>
    <format dxfId="204">
      <pivotArea type="all" dataOnly="0" outline="0" fieldPosition="0"/>
    </format>
    <format dxfId="203">
      <pivotArea outline="0" collapsedLevelsAreSubtotals="1" fieldPosition="0"/>
    </format>
    <format dxfId="202">
      <pivotArea type="origin" dataOnly="0" labelOnly="1" outline="0" fieldPosition="0"/>
    </format>
    <format dxfId="201">
      <pivotArea field="21" type="button" dataOnly="0" labelOnly="1" outline="0" axis="axisRow" fieldPosition="1"/>
    </format>
    <format dxfId="200">
      <pivotArea field="19" type="button" dataOnly="0" labelOnly="1" outline="0" axis="axisRow" fieldPosition="0"/>
    </format>
    <format dxfId="199">
      <pivotArea type="topRight" dataOnly="0" labelOnly="1" outline="0" fieldPosition="0"/>
    </format>
    <format dxfId="198">
      <pivotArea field="20" type="button" dataOnly="0" labelOnly="1" outline="0"/>
    </format>
    <format dxfId="197">
      <pivotArea dataOnly="0" labelOnly="1" grandRow="1" outline="0" fieldPosition="0"/>
    </format>
    <format dxfId="196">
      <pivotArea dataOnly="0" labelOnly="1" grandCol="1" outline="0" fieldPosition="0"/>
    </format>
    <format dxfId="195">
      <pivotArea type="all" dataOnly="0" outline="0" fieldPosition="0"/>
    </format>
    <format dxfId="194">
      <pivotArea outline="0" collapsedLevelsAreSubtotals="1" fieldPosition="0"/>
    </format>
    <format dxfId="193">
      <pivotArea type="origin" dataOnly="0" labelOnly="1" outline="0" fieldPosition="0"/>
    </format>
    <format dxfId="192">
      <pivotArea field="21" type="button" dataOnly="0" labelOnly="1" outline="0" axis="axisRow" fieldPosition="1"/>
    </format>
    <format dxfId="191">
      <pivotArea field="19" type="button" dataOnly="0" labelOnly="1" outline="0" axis="axisRow" fieldPosition="0"/>
    </format>
    <format dxfId="190">
      <pivotArea type="topRight" dataOnly="0" labelOnly="1" outline="0" fieldPosition="0"/>
    </format>
    <format dxfId="189">
      <pivotArea field="20" type="button" dataOnly="0" labelOnly="1" outline="0"/>
    </format>
    <format dxfId="188">
      <pivotArea dataOnly="0" labelOnly="1" grandRow="1" outline="0" fieldPosition="0"/>
    </format>
    <format dxfId="187">
      <pivotArea dataOnly="0" labelOnly="1" grandCol="1" outline="0" fieldPosition="0"/>
    </format>
    <format dxfId="186">
      <pivotArea type="all" dataOnly="0" outline="0" fieldPosition="0"/>
    </format>
    <format dxfId="185">
      <pivotArea outline="0" collapsedLevelsAreSubtotals="1" fieldPosition="0"/>
    </format>
    <format dxfId="184">
      <pivotArea type="origin" dataOnly="0" labelOnly="1" outline="0" fieldPosition="0"/>
    </format>
    <format dxfId="183">
      <pivotArea field="21" type="button" dataOnly="0" labelOnly="1" outline="0" axis="axisRow" fieldPosition="1"/>
    </format>
    <format dxfId="182">
      <pivotArea field="19" type="button" dataOnly="0" labelOnly="1" outline="0" axis="axisRow" fieldPosition="0"/>
    </format>
    <format dxfId="181">
      <pivotArea type="topRight" dataOnly="0" labelOnly="1" outline="0" fieldPosition="0"/>
    </format>
    <format dxfId="180">
      <pivotArea field="20" type="button" dataOnly="0" labelOnly="1" outline="0"/>
    </format>
    <format dxfId="179">
      <pivotArea dataOnly="0" labelOnly="1" grandRow="1" outline="0" fieldPosition="0"/>
    </format>
    <format dxfId="178">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9ED532F-2062-4FDE-AA3C-0AFE573F0BBF}" name="PivotTable4" cacheId="9" applyNumberFormats="0" applyBorderFormats="0" applyFontFormats="0" applyPatternFormats="0" applyAlignmentFormats="0" applyWidthHeightFormats="1" dataCaption="Values" showError="1" updatedVersion="8" minRefreshableVersion="3" useAutoFormatting="1" itemPrintTitles="1" mergeItem="1" createdVersion="8" indent="0" outline="1" outlineData="1" chartFormat="72" rowHeaderCaption="Status">
  <location ref="G3:H19" firstHeaderRow="1" firstDataRow="1" firstDataCol="1"/>
  <pivotFields count="28">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items count="6">
        <item x="0"/>
        <item x="1"/>
        <item m="1" x="3"/>
        <item m="1" x="4"/>
        <item x="2"/>
        <item t="default"/>
      </items>
    </pivotField>
    <pivotField axis="axisRow" showAll="0">
      <items count="17">
        <item m="1" x="15"/>
        <item x="12"/>
        <item x="11"/>
        <item x="13"/>
        <item x="5"/>
        <item x="7"/>
        <item x="2"/>
        <item x="4"/>
        <item x="1"/>
        <item x="6"/>
        <item x="9"/>
        <item x="10"/>
        <item x="8"/>
        <item x="3"/>
        <item x="14"/>
        <item x="0"/>
        <item t="default"/>
      </items>
    </pivotField>
    <pivotField showAll="0"/>
    <pivotField showAll="0">
      <items count="5">
        <item m="1" x="3"/>
        <item x="0"/>
        <item x="1"/>
        <item x="2"/>
        <item t="default"/>
      </items>
    </pivotField>
    <pivotField multipleItemSelectionAllowed="1" showAll="0"/>
    <pivotField showAll="0" sortType="descending">
      <items count="5">
        <item h="1" x="2"/>
        <item x="0"/>
        <item h="1" m="1" x="3"/>
        <item sd="0" x="1"/>
        <item t="default"/>
      </items>
    </pivotField>
    <pivotField multipleItemSelectionAllowed="1" showAll="0"/>
    <pivotField showAll="0"/>
    <pivotField multipleItemSelectionAllowed="1" showAll="0"/>
  </pivotFields>
  <rowFields count="1">
    <field x="20"/>
  </rowFields>
  <rowItems count="16">
    <i>
      <x v="1"/>
    </i>
    <i>
      <x v="2"/>
    </i>
    <i>
      <x v="3"/>
    </i>
    <i>
      <x v="4"/>
    </i>
    <i>
      <x v="5"/>
    </i>
    <i>
      <x v="6"/>
    </i>
    <i>
      <x v="7"/>
    </i>
    <i>
      <x v="8"/>
    </i>
    <i>
      <x v="9"/>
    </i>
    <i>
      <x v="10"/>
    </i>
    <i>
      <x v="11"/>
    </i>
    <i>
      <x v="12"/>
    </i>
    <i>
      <x v="13"/>
    </i>
    <i>
      <x v="14"/>
    </i>
    <i>
      <x v="15"/>
    </i>
    <i t="grand">
      <x/>
    </i>
  </rowItems>
  <colItems count="1">
    <i/>
  </colItems>
  <dataFields count="1">
    <dataField name="Count of SN" fld="12" subtotal="count" baseField="20" baseItem="0"/>
  </dataFields>
  <formats count="37">
    <format dxfId="260">
      <pivotArea type="origin" dataOnly="0" labelOnly="1" outline="0" fieldPosition="0"/>
    </format>
    <format dxfId="259">
      <pivotArea field="19" type="button" dataOnly="0" labelOnly="1" outline="0"/>
    </format>
    <format dxfId="258">
      <pivotArea type="topRight" dataOnly="0" labelOnly="1" outline="0" fieldPosition="0"/>
    </format>
    <format dxfId="257">
      <pivotArea grandRow="1" outline="0" collapsedLevelsAreSubtotals="1" fieldPosition="0"/>
    </format>
    <format dxfId="256">
      <pivotArea dataOnly="0" labelOnly="1" outline="0" axis="axisValues" fieldPosition="0"/>
    </format>
    <format dxfId="255">
      <pivotArea type="all" dataOnly="0" outline="0" fieldPosition="0"/>
    </format>
    <format dxfId="254">
      <pivotArea outline="0" collapsedLevelsAreSubtotals="1" fieldPosition="0"/>
    </format>
    <format dxfId="253">
      <pivotArea dataOnly="0" labelOnly="1" grandRow="1" outline="0" fieldPosition="0"/>
    </format>
    <format dxfId="252">
      <pivotArea dataOnly="0" labelOnly="1" outline="0" axis="axisValues" fieldPosition="0"/>
    </format>
    <format dxfId="251">
      <pivotArea type="all" dataOnly="0" outline="0" fieldPosition="0"/>
    </format>
    <format dxfId="250">
      <pivotArea outline="0" collapsedLevelsAreSubtotals="1" fieldPosition="0"/>
    </format>
    <format dxfId="249">
      <pivotArea type="origin" dataOnly="0" labelOnly="1" outline="0" fieldPosition="0"/>
    </format>
    <format dxfId="248">
      <pivotArea field="22" type="button" dataOnly="0" labelOnly="1" outline="0"/>
    </format>
    <format dxfId="247">
      <pivotArea field="24" type="button" dataOnly="0" labelOnly="1" outline="0"/>
    </format>
    <format dxfId="246">
      <pivotArea type="topRight" dataOnly="0" labelOnly="1" outline="0" fieldPosition="0"/>
    </format>
    <format dxfId="245">
      <pivotArea field="19" type="button" dataOnly="0" labelOnly="1" outline="0"/>
    </format>
    <format dxfId="244">
      <pivotArea dataOnly="0" labelOnly="1" grandRow="1" outline="0" fieldPosition="0"/>
    </format>
    <format dxfId="243">
      <pivotArea dataOnly="0" labelOnly="1" grandCol="1" outline="0" fieldPosition="0"/>
    </format>
    <format dxfId="242">
      <pivotArea field="22" type="button" dataOnly="0" labelOnly="1" outline="0"/>
    </format>
    <format dxfId="241">
      <pivotArea type="all" dataOnly="0" outline="0" fieldPosition="0"/>
    </format>
    <format dxfId="240">
      <pivotArea outline="0" collapsedLevelsAreSubtotals="1" fieldPosition="0"/>
    </format>
    <format dxfId="239">
      <pivotArea field="20" type="button" dataOnly="0" labelOnly="1" outline="0" axis="axisRow" fieldPosition="0"/>
    </format>
    <format dxfId="238">
      <pivotArea dataOnly="0" labelOnly="1" fieldPosition="0">
        <references count="1">
          <reference field="20" count="0"/>
        </references>
      </pivotArea>
    </format>
    <format dxfId="237">
      <pivotArea dataOnly="0" labelOnly="1" grandRow="1" outline="0" fieldPosition="0"/>
    </format>
    <format dxfId="236">
      <pivotArea dataOnly="0" labelOnly="1" outline="0" axis="axisValues" fieldPosition="0"/>
    </format>
    <format dxfId="235">
      <pivotArea type="all" dataOnly="0" outline="0" fieldPosition="0"/>
    </format>
    <format dxfId="234">
      <pivotArea outline="0" collapsedLevelsAreSubtotals="1" fieldPosition="0"/>
    </format>
    <format dxfId="233">
      <pivotArea field="20" type="button" dataOnly="0" labelOnly="1" outline="0" axis="axisRow" fieldPosition="0"/>
    </format>
    <format dxfId="232">
      <pivotArea dataOnly="0" labelOnly="1" fieldPosition="0">
        <references count="1">
          <reference field="20" count="0"/>
        </references>
      </pivotArea>
    </format>
    <format dxfId="231">
      <pivotArea dataOnly="0" labelOnly="1" grandRow="1" outline="0" fieldPosition="0"/>
    </format>
    <format dxfId="230">
      <pivotArea dataOnly="0" labelOnly="1" outline="0" axis="axisValues" fieldPosition="0"/>
    </format>
    <format dxfId="229">
      <pivotArea type="all" dataOnly="0" outline="0" fieldPosition="0"/>
    </format>
    <format dxfId="228">
      <pivotArea outline="0" collapsedLevelsAreSubtotals="1" fieldPosition="0"/>
    </format>
    <format dxfId="227">
      <pivotArea field="20" type="button" dataOnly="0" labelOnly="1" outline="0" axis="axisRow" fieldPosition="0"/>
    </format>
    <format dxfId="226">
      <pivotArea dataOnly="0" labelOnly="1" fieldPosition="0">
        <references count="1">
          <reference field="20" count="0"/>
        </references>
      </pivotArea>
    </format>
    <format dxfId="225">
      <pivotArea dataOnly="0" labelOnly="1" grandRow="1" outline="0" fieldPosition="0"/>
    </format>
    <format dxfId="224">
      <pivotArea dataOnly="0" labelOnly="1" outline="0" axis="axisValues" fieldPosition="0"/>
    </format>
  </formats>
  <pivotTableStyleInfo name="PivotStyleLight16" showRowHeaders="1" showColHeaders="1" showRowStripes="0" showColStripes="1"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CF39113-9C6E-4453-86C3-F4CE17FCC05D}" name="PivotTable1"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E20:AF24" firstHeaderRow="1" firstDataRow="1" firstDataCol="1"/>
  <pivotFields count="28">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5">
        <item x="1"/>
        <item m="1" x="3"/>
        <item x="0"/>
        <item x="2"/>
        <item t="default"/>
      </items>
    </pivotField>
  </pivotFields>
  <rowFields count="1">
    <field x="27"/>
  </rowFields>
  <rowItems count="4">
    <i>
      <x/>
    </i>
    <i>
      <x v="2"/>
    </i>
    <i>
      <x v="3"/>
    </i>
    <i t="grand">
      <x/>
    </i>
  </rowItems>
  <colItems count="1">
    <i/>
  </colItems>
  <dataFields count="1">
    <dataField name="Count of SN" fld="12" subtotal="count" baseField="27"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1">
    <v>13</v>
    <v>3</v>
  </rv>
</rvData>
</file>

<file path=xl/richData/rdrichvaluestructure.xml><?xml version="1.0" encoding="utf-8"?>
<rvStructures xmlns="http://schemas.microsoft.com/office/spreadsheetml/2017/richdata" count="2">
  <s t="_localImage">
    <k n="_rvRel:LocalImageIdentifier" t="i"/>
    <k n="CalcOrigin" t="i"/>
  </s>
  <s t="_error">
    <k n="errorType" t="i"/>
    <k n="subType"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1" xr10:uid="{12CE2B89-20E3-44A5-84EF-2BD79861041F}" sourceName="Gender">
  <extLst>
    <x:ext xmlns:x15="http://schemas.microsoft.com/office/spreadsheetml/2010/11/main" uri="{2F2917AC-EB37-4324-AD4E-5DD8C200BD13}">
      <x15:tableSlicerCache tableId="2" column="3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l1" xr10:uid="{40BE3E2B-0D90-424A-BD4B-010A464F2879}" sourceName="Level">
  <extLst>
    <x:ext xmlns:x15="http://schemas.microsoft.com/office/spreadsheetml/2010/11/main" uri="{2F2917AC-EB37-4324-AD4E-5DD8C200BD13}">
      <x15:tableSlicerCache tableId="2" column="3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8C3A2707-C16C-4F80-99AB-2BC248A72264}" cache="Slicer_Gender1" caption="Gender" columnCount="2" rowHeight="182880"/>
  <slicer name="Level" xr10:uid="{AB114271-2B7A-4EC3-8BD5-6917DC95C35C}" cache="Slicer_Level1" caption="Level" columnCoun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DC572C6-B810-4F6E-9990-FE424259415E}" name="Table3" displayName="Table3" ref="A3:AB20" totalsRowShown="0">
  <autoFilter ref="A3:AB20" xr:uid="{EDC572C6-B810-4F6E-9990-FE424259415E}"/>
  <tableColumns count="28">
    <tableColumn id="1" xr3:uid="{6C5ECF6B-164B-42DC-A741-155BA3B4AEA8}" name="SN"/>
    <tableColumn id="2" xr3:uid="{C1055BA7-A277-45B2-BC48-2BC9658504E3}" name="Name"/>
    <tableColumn id="3" xr3:uid="{08D5D950-5EC0-4634-863F-F2C6D154A1C3}" name="RG"/>
    <tableColumn id="4" xr3:uid="{A4B7A916-3105-4ED9-B255-CC41B1933B3B}" name="Father Name"/>
    <tableColumn id="5" xr3:uid="{4E40F463-2DE0-49CD-AF2E-32766B21FC7A}" name="Father Phone"/>
    <tableColumn id="6" xr3:uid="{2C467668-970F-40E6-9302-6B0878F6D41F}" name="Mother Name"/>
    <tableColumn id="7" xr3:uid="{D0F2559C-B387-4961-ABF8-4B2B6E11618B}" name="Mother Phone"/>
    <tableColumn id="8" xr3:uid="{7FE8F87A-313B-4EDB-A41D-BB8CA2E93E2F}" name="DOB"/>
    <tableColumn id="9" xr3:uid="{AD75E4D4-76DD-471D-BB8B-1F8F14E334ED}" name="Group"/>
    <tableColumn id="10" xr3:uid="{70FF778F-4B78-4A23-BC75-407449008C3B}" name="Address"/>
    <tableColumn id="11" xr3:uid="{781A638C-54FC-4FC6-BDA7-5CBF06A19DB8}" name="City"/>
    <tableColumn id="12" xr3:uid="{096A768F-AEE5-4AFD-AD48-27B761F1D4EB}" name="State"/>
    <tableColumn id="13" xr3:uid="{D232E59A-8DCF-42AE-9E9F-6C35B5EB3594}" name="Zip Code"/>
    <tableColumn id="14" xr3:uid="{0CFCAD71-04E5-46D7-A62A-2C9BBD4927ED}" name="Email ID (Parent)"/>
    <tableColumn id="15" xr3:uid="{842F373D-05F7-4E4B-8F6F-83BD7F811E77}" name="Emergency Contact Name"/>
    <tableColumn id="16" xr3:uid="{981AE303-89FA-4D1A-BF0A-54443EE654D7}" name="Emergency Contact Relationship"/>
    <tableColumn id="17" xr3:uid="{2182F43F-3A9E-42FE-917D-0F36C836BEBD}" name="Emergency Contact Home Phone"/>
    <tableColumn id="18" xr3:uid="{84951EEA-3AF1-4961-AF14-6A19815302E1}" name="Emergency Contact Cell Phone"/>
    <tableColumn id="19" xr3:uid="{846101A5-3FA3-4779-A95F-A7871E98777A}" name="Emergency Contact Email"/>
    <tableColumn id="20" xr3:uid="{FEA2C63F-0D9B-4D27-96E2-65753D4F8DDC}" name="Gender" dataDxfId="262"/>
    <tableColumn id="21" xr3:uid="{8B9FB11F-140B-4789-88D7-0384AC38C005}" name="Grade"/>
    <tableColumn id="22" xr3:uid="{38E34454-6130-4C08-A7B6-21C3377D5790}" name="Level"/>
    <tableColumn id="23" xr3:uid="{8678F5BA-CE54-46C1-B17D-5FCA85008D3E}" name="Weekend 2025 Enrolled"/>
    <tableColumn id="24" xr3:uid="{FD15E2A1-1B88-4EAC-B927-7C315F19B774}" name="Weekend 2025"/>
    <tableColumn id="25" xr3:uid="{25926948-29A3-45D5-8EEE-A802CFB30B21}" name="Evening 2025 Enrolled"/>
    <tableColumn id="26" xr3:uid="{C7F85ED6-3462-420E-8F3D-B62565AB3D0E}" name="Evening 2025"/>
    <tableColumn id="27" xr3:uid="{1BA8FFA3-A083-4853-8C65-FD5FFED373F4}" name="Concerned"/>
    <tableColumn id="28" xr3:uid="{81144E5B-5DEB-4D69-9393-8670E03EB994}" name="Session Enrollm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909C230-01E3-4F6F-AEC9-CB7C6903CD90}" name="Table4" displayName="Table4" ref="A3:AB20" totalsRowShown="0">
  <autoFilter ref="A3:AB20" xr:uid="{A909C230-01E3-4F6F-AEC9-CB7C6903CD90}"/>
  <sortState xmlns:xlrd2="http://schemas.microsoft.com/office/spreadsheetml/2017/richdata2" ref="A4:AB20">
    <sortCondition ref="T3:T20"/>
  </sortState>
  <tableColumns count="28">
    <tableColumn id="1" xr3:uid="{38CBA5E7-6839-4E3F-BA3F-D9F58D14A5B8}" name="SN"/>
    <tableColumn id="2" xr3:uid="{25614FE2-9FE4-404A-943F-ADE47EC67A56}" name="Name"/>
    <tableColumn id="3" xr3:uid="{FF64862D-C2A4-4D02-91B0-A0896E17B496}" name="RG"/>
    <tableColumn id="4" xr3:uid="{5CF43DD1-95F4-48A5-B403-5BFA9A15DD0C}" name="Father Name"/>
    <tableColumn id="5" xr3:uid="{F2877746-EC4D-44A8-A0AA-E6574C56F5B2}" name="Father Phone"/>
    <tableColumn id="6" xr3:uid="{53CCFB18-AAE9-42DF-9A31-B10AD215CE52}" name="Mother Name"/>
    <tableColumn id="7" xr3:uid="{D1230F91-F965-45EB-AFDE-3FB1799C1549}" name="Mother Phone"/>
    <tableColumn id="8" xr3:uid="{7C711177-A9EB-4C3F-9DC2-F9AF05B4A3B7}" name="DOB"/>
    <tableColumn id="9" xr3:uid="{E7EA2A32-25A9-4EDB-BCE9-B3979127D388}" name="Group"/>
    <tableColumn id="10" xr3:uid="{21482A39-B165-41F3-9618-3E787BEDE8D8}" name="Address"/>
    <tableColumn id="11" xr3:uid="{0DC8F039-4544-48BF-A850-B53B2083A5AF}" name="City"/>
    <tableColumn id="12" xr3:uid="{B31FDFB0-176E-4E2B-9DC6-25F555D04ECF}" name="State"/>
    <tableColumn id="13" xr3:uid="{15C6DDB1-001A-4806-BCF5-303EA9BE1DC7}" name="Zip Code"/>
    <tableColumn id="14" xr3:uid="{2F2548E2-0126-492B-885B-B6EB28EE9B16}" name="Email ID (Parent)"/>
    <tableColumn id="15" xr3:uid="{2D811F87-BBAC-495C-BBB6-75226C81E2B2}" name="Emergency Contact Name"/>
    <tableColumn id="16" xr3:uid="{A70C7511-C7F0-4EF9-BAA0-590DD40C4394}" name="Emergency Contact Relationship"/>
    <tableColumn id="17" xr3:uid="{7B5128FB-E691-424C-81FE-10AA5528B8D7}" name="Emergency Contact Home Phone"/>
    <tableColumn id="18" xr3:uid="{A095B98C-FFC0-4E41-8019-779BDF13FF97}" name="Emergency Contact Cell Phone"/>
    <tableColumn id="19" xr3:uid="{5D466E6E-6553-486B-BA53-CD73843EDA72}" name="Emergency Contact Email"/>
    <tableColumn id="20" xr3:uid="{ED42D18D-BF1B-46A2-BD9F-FEE582FB99FF}" name="Gender" dataDxfId="261"/>
    <tableColumn id="21" xr3:uid="{EF176356-A55E-40AB-A0F0-18A06C232F04}" name="Grade"/>
    <tableColumn id="22" xr3:uid="{1C561E06-5029-4B6C-813C-8D4AD02E2A53}" name="Level"/>
    <tableColumn id="23" xr3:uid="{B75883D8-35E1-46B5-BC24-544DC1C5E921}" name="Weekend 2025 Enrolled"/>
    <tableColumn id="24" xr3:uid="{58870753-412B-42F1-A498-692D8EC304A1}" name="Weekend 2025"/>
    <tableColumn id="25" xr3:uid="{D065BE26-4174-4B2A-869A-C59353629943}" name="Evening 2025 Enrolled"/>
    <tableColumn id="26" xr3:uid="{A4430845-D153-4FD1-9A36-09614C9A082D}" name="Evening 2025"/>
    <tableColumn id="27" xr3:uid="{B42E88D8-C0CA-41FF-97BF-91EE5FE8401C}" name="Concerned"/>
    <tableColumn id="28" xr3:uid="{C692DB3C-F284-4531-B69A-4ED6D280DB08}" name="Session Enrollme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84D26A-BA7A-47F8-82C1-BCA8538CCC59}" name="studentdata" displayName="studentdata" ref="A1:AB362" totalsRowShown="0" headerRowDxfId="295" dataDxfId="293" headerRowBorderDxfId="294" tableBorderDxfId="292" totalsRowBorderDxfId="291">
  <autoFilter ref="A1:AB362" xr:uid="{9A84D26A-BA7A-47F8-82C1-BCA8538CCC59}"/>
  <tableColumns count="28">
    <tableColumn id="33" xr3:uid="{D53E26D3-CFBB-44DE-BA9F-E716EF2A1EAA}" name="DOB" dataDxfId="290"/>
    <tableColumn id="19" xr3:uid="{59C1E1F2-FE38-4C80-ACCB-186CB807D80B}" name="Group" dataDxfId="289"/>
    <tableColumn id="6" xr3:uid="{EB1250E2-E618-4CDD-BA6E-55FAADAEFB7F}" name="Address" dataDxfId="288"/>
    <tableColumn id="7" xr3:uid="{7DC78E8A-E52B-425E-B4A0-D3153D318AF9}" name="City" dataDxfId="287"/>
    <tableColumn id="8" xr3:uid="{A801ADF6-38F7-4588-9997-67E31EFC2D70}" name="State" dataDxfId="286"/>
    <tableColumn id="9" xr3:uid="{C384E5D4-DCD8-4533-BC8B-9B8F07260BC0}" name="Zip Code" dataDxfId="285"/>
    <tableColumn id="10" xr3:uid="{C169D166-51B3-437A-AABE-492833F07014}" name="Email ID (Parent)" dataDxfId="284"/>
    <tableColumn id="13" xr3:uid="{FDEBB2BC-3EE6-4D89-9CEF-C3AF38439EA9}" name="Emergency Contact Name" dataDxfId="283"/>
    <tableColumn id="14" xr3:uid="{D29AEDD6-4CAE-4A01-B856-8ECB6FBC4E5F}" name="Emergency Contact Relationship" dataDxfId="282"/>
    <tableColumn id="15" xr3:uid="{06E10737-2BC3-45D1-9C65-76CAE221FC87}" name="Emergency Contact Home Phone" dataDxfId="281"/>
    <tableColumn id="16" xr3:uid="{AEFD0944-3FBB-4A07-9243-613A7D948E0B}" name="Emergency Contact Cell Phone" dataDxfId="280"/>
    <tableColumn id="17" xr3:uid="{273263FA-016B-453C-8BE3-439176618764}" name="Emergency Contact Email" dataDxfId="279"/>
    <tableColumn id="38" xr3:uid="{2FB4409E-95E4-4BFF-BF18-D6DB464AB09E}" name="SN" dataDxfId="278"/>
    <tableColumn id="32" xr3:uid="{20645581-024B-4BDA-B68C-40C30A075BA2}" name="Name" dataDxfId="277"/>
    <tableColumn id="1" xr3:uid="{BB0D8AA3-5DC5-4386-965C-18E8EDF06CBD}" name="RG" dataDxfId="276"/>
    <tableColumn id="4" xr3:uid="{F3F5477A-7398-4D8C-9F43-90992DB11CEA}" name="Father Name" dataDxfId="275"/>
    <tableColumn id="11" xr3:uid="{3678F037-6D4A-4127-87B0-1CE7E70B18C3}" name="Father Phone" dataDxfId="274"/>
    <tableColumn id="5" xr3:uid="{6BEC78B6-1C82-4AA2-BF33-6ABB487A0876}" name="Mother Name" dataDxfId="273"/>
    <tableColumn id="12" xr3:uid="{09FD516F-C29F-454E-86BF-0D3CB6E9438F}" name="Mother Phone" dataDxfId="272"/>
    <tableColumn id="34" xr3:uid="{B0195F2F-749C-4811-91EC-0037CB678453}" name="Gender" dataDxfId="271"/>
    <tableColumn id="35" xr3:uid="{D43940F7-5B32-4CBF-879A-3B7ECD8CCE6A}" name="Grade" dataDxfId="270"/>
    <tableColumn id="36" xr3:uid="{0D804410-D115-4EFA-9A99-886A47568C28}" name="Level" dataDxfId="269"/>
    <tableColumn id="18" xr3:uid="{AFEF0C13-8E6C-4D1E-8499-136675A97584}" name="Weekend 2025 Enrolled" dataDxfId="268">
      <calculatedColumnFormula>IF(OR(studentdata[[#This Row],[Weekend 2025]]&lt;&gt;""),"Yes","")</calculatedColumnFormula>
    </tableColumn>
    <tableColumn id="3" xr3:uid="{28DE98A3-02BA-4F4D-8724-B6BEE7A72D05}" name="Weekend 2025" dataDxfId="267"/>
    <tableColumn id="2" xr3:uid="{CB274CF2-96F4-4DD2-A29A-12436F43EA6D}" name="Evening 2025 Enrolled" dataDxfId="266">
      <calculatedColumnFormula>IF(OR(studentdata[[#This Row],[Evening 2025]]&lt;&gt;""),"Yes","")</calculatedColumnFormula>
    </tableColumn>
    <tableColumn id="20" xr3:uid="{FF3B32FE-8E46-4EE4-B780-6C77215D48F2}" name="Evening 2025" dataDxfId="265"/>
    <tableColumn id="21" xr3:uid="{36849C9E-0B5A-4E79-8B8B-EF095B9AAA02}" name="Concerned" dataDxfId="264"/>
    <tableColumn id="22" xr3:uid="{C841766E-9568-4D4B-B125-7BE5BDC2CB54}" name="Session Enrollment" dataDxfId="263">
      <calculatedColumnFormula>IF(OR(studentdata[[#This Row],[Weekend 2025 Enrolled]]="Yes",studentdata[[#This Row],[Evening 2025 Enrolled]]="Yes"),"Yes","")</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0C30CC-90DF-43F6-A276-F01D7534F93C}" name="teachersetting" displayName="teachersetting" ref="M1:R26" totalsRowShown="0">
  <autoFilter ref="M1:R26" xr:uid="{790C30CC-90DF-43F6-A276-F01D7534F93C}"/>
  <sortState xmlns:xlrd2="http://schemas.microsoft.com/office/spreadsheetml/2017/richdata2" ref="M2:R20">
    <sortCondition ref="R1:R20"/>
  </sortState>
  <tableColumns count="6">
    <tableColumn id="1" xr3:uid="{005E1F3A-9978-49DC-B62E-40C19F0FBBF5}" name="Gender"/>
    <tableColumn id="6" xr3:uid="{3BC7CAA5-3CC3-4C6D-9D2A-E6F477F51A96}" name="Level Name"/>
    <tableColumn id="2" xr3:uid="{3ED16F82-D849-4117-8B51-DF42140267D2}" name="Level"/>
    <tableColumn id="5" xr3:uid="{EAEC600F-E19F-4A32-AD1D-A3414F39D94D}" name="Group" dataDxfId="133"/>
    <tableColumn id="3" xr3:uid="{488CE04D-AA39-48A1-BE6F-FC39504FFDAC}" name="Teacher"/>
    <tableColumn id="4" xr3:uid="{745FC5A1-56EB-48BC-A371-B05F1E676996}" name="Shif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microsoft.com/office/2019/04/relationships/namedSheetView" Target="../namedSheetViews/namedSheetView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5.bin"/><Relationship Id="rId1" Type="http://schemas.openxmlformats.org/officeDocument/2006/relationships/pivotTable" Target="../pivotTables/pivotTable4.xml"/><Relationship Id="rId6" Type="http://schemas.microsoft.com/office/2007/relationships/slicer" Target="../slicers/slicer1.xml"/><Relationship Id="rId5" Type="http://schemas.openxmlformats.org/officeDocument/2006/relationships/table" Target="../tables/table3.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9.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drawing" Target="../drawings/drawing6.xml"/><Relationship Id="rId7" Type="http://schemas.openxmlformats.org/officeDocument/2006/relationships/image" Target="../media/image4.emf"/><Relationship Id="rId2" Type="http://schemas.openxmlformats.org/officeDocument/2006/relationships/printerSettings" Target="../printerSettings/printerSettings13.bin"/><Relationship Id="rId1" Type="http://schemas.openxmlformats.org/officeDocument/2006/relationships/hyperlink" Target="http://www.icwweb.org/" TargetMode="External"/><Relationship Id="rId6" Type="http://schemas.openxmlformats.org/officeDocument/2006/relationships/control" Target="../activeX/activeX1.xml"/><Relationship Id="rId5" Type="http://schemas.openxmlformats.org/officeDocument/2006/relationships/vmlDrawing" Target="../drawings/vmlDrawing6.vml"/><Relationship Id="rId10" Type="http://schemas.openxmlformats.org/officeDocument/2006/relationships/image" Target="../media/image5.emf"/><Relationship Id="rId4" Type="http://schemas.openxmlformats.org/officeDocument/2006/relationships/vmlDrawing" Target="../drawings/vmlDrawing5.vml"/><Relationship Id="rId9" Type="http://schemas.openxmlformats.org/officeDocument/2006/relationships/control" Target="../activeX/activeX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C0B5B-B8EB-49C8-91E4-D13A268FA01C}">
  <sheetPr codeName="Sheet3"/>
  <dimension ref="A1:B17"/>
  <sheetViews>
    <sheetView zoomScale="162" workbookViewId="0">
      <selection activeCell="D17" sqref="D17"/>
    </sheetView>
  </sheetViews>
  <sheetFormatPr defaultRowHeight="15" x14ac:dyDescent="0.25"/>
  <cols>
    <col min="1" max="1" width="19.5703125" bestFit="1" customWidth="1"/>
    <col min="2" max="2" width="50.140625" customWidth="1"/>
    <col min="4" max="4" width="56.28515625" customWidth="1"/>
  </cols>
  <sheetData>
    <row r="1" spans="1:2" x14ac:dyDescent="0.25">
      <c r="A1" t="s">
        <v>0</v>
      </c>
      <c r="B1" t="s">
        <v>1</v>
      </c>
    </row>
    <row r="2" spans="1:2" x14ac:dyDescent="0.25">
      <c r="B2" t="s">
        <v>2</v>
      </c>
    </row>
    <row r="3" spans="1:2" x14ac:dyDescent="0.25">
      <c r="B3" t="s">
        <v>3</v>
      </c>
    </row>
    <row r="4" spans="1:2" x14ac:dyDescent="0.25">
      <c r="B4" t="s">
        <v>4</v>
      </c>
    </row>
    <row r="8" spans="1:2" x14ac:dyDescent="0.25">
      <c r="A8" t="s">
        <v>5</v>
      </c>
      <c r="B8" t="s">
        <v>6</v>
      </c>
    </row>
    <row r="10" spans="1:2" x14ac:dyDescent="0.25">
      <c r="A10" t="s">
        <v>7</v>
      </c>
      <c r="B10" t="s">
        <v>8</v>
      </c>
    </row>
    <row r="11" spans="1:2" x14ac:dyDescent="0.25">
      <c r="B11" t="s">
        <v>9</v>
      </c>
    </row>
    <row r="13" spans="1:2" x14ac:dyDescent="0.25">
      <c r="A13" t="s">
        <v>10</v>
      </c>
      <c r="B13" t="s">
        <v>11</v>
      </c>
    </row>
    <row r="14" spans="1:2" x14ac:dyDescent="0.25">
      <c r="B14" t="s">
        <v>12</v>
      </c>
    </row>
    <row r="15" spans="1:2" x14ac:dyDescent="0.25">
      <c r="B15" t="s">
        <v>13</v>
      </c>
    </row>
    <row r="16" spans="1:2" x14ac:dyDescent="0.25">
      <c r="B16" t="s">
        <v>14</v>
      </c>
    </row>
    <row r="17" spans="2:2" ht="120.75" customHeight="1" x14ac:dyDescent="0.25">
      <c r="B17" t="e" vm="1">
        <v>#VALUE!</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07C1B-7B7B-4F70-8319-C1310FECF2F4}">
  <sheetPr codeName="Sheet6">
    <pageSetUpPr fitToPage="1"/>
  </sheetPr>
  <dimension ref="A1:AB20"/>
  <sheetViews>
    <sheetView workbookViewId="0">
      <selection activeCell="V3" sqref="V3"/>
    </sheetView>
  </sheetViews>
  <sheetFormatPr defaultRowHeight="15" x14ac:dyDescent="0.25"/>
  <cols>
    <col min="1" max="1" width="9.28515625" bestFit="1" customWidth="1"/>
    <col min="2" max="2" width="25.140625" bestFit="1" customWidth="1"/>
    <col min="3" max="3" width="9.28515625" bestFit="1" customWidth="1"/>
    <col min="4" max="4" width="23.42578125" bestFit="1" customWidth="1"/>
    <col min="5" max="5" width="15.140625" bestFit="1" customWidth="1"/>
    <col min="6" max="6" width="24.28515625" bestFit="1" customWidth="1"/>
    <col min="7" max="7" width="16.28515625" bestFit="1" customWidth="1"/>
    <col min="8" max="8" width="9.7109375" hidden="1" customWidth="1"/>
    <col min="9" max="9" width="9.28515625" hidden="1" customWidth="1"/>
    <col min="10" max="10" width="19" hidden="1" customWidth="1"/>
    <col min="11" max="11" width="15.140625" hidden="1" customWidth="1"/>
    <col min="12" max="12" width="9.28515625" hidden="1" customWidth="1"/>
    <col min="13" max="13" width="11" hidden="1" customWidth="1"/>
    <col min="14" max="14" width="24.28515625" hidden="1" customWidth="1"/>
    <col min="15" max="15" width="26.28515625" hidden="1" customWidth="1"/>
    <col min="16" max="16" width="32.42578125" hidden="1" customWidth="1"/>
    <col min="17" max="17" width="32.7109375" hidden="1" customWidth="1"/>
    <col min="18" max="18" width="30.7109375" hidden="1" customWidth="1"/>
    <col min="19" max="19" width="25.85546875" hidden="1" customWidth="1"/>
    <col min="20" max="21" width="10" bestFit="1" customWidth="1"/>
    <col min="22" max="22" width="9.28515625" bestFit="1" customWidth="1"/>
    <col min="23" max="23" width="24.7109375" hidden="1" customWidth="1"/>
    <col min="24" max="24" width="16.5703125" hidden="1" customWidth="1"/>
    <col min="25" max="25" width="22.85546875" hidden="1" customWidth="1"/>
    <col min="26" max="26" width="14.7109375" hidden="1" customWidth="1"/>
    <col min="27" max="27" width="12.85546875" hidden="1" customWidth="1"/>
    <col min="28" max="28" width="20.5703125" hidden="1" customWidth="1"/>
  </cols>
  <sheetData>
    <row r="1" spans="1:28" x14ac:dyDescent="0.25">
      <c r="A1" s="165" t="s">
        <v>15</v>
      </c>
    </row>
    <row r="3" spans="1:28" x14ac:dyDescent="0.25">
      <c r="A3" t="s">
        <v>16</v>
      </c>
      <c r="B3" t="s">
        <v>17</v>
      </c>
      <c r="C3" t="s">
        <v>18</v>
      </c>
      <c r="D3" t="s">
        <v>19</v>
      </c>
      <c r="E3" t="s">
        <v>20</v>
      </c>
      <c r="F3" t="s">
        <v>21</v>
      </c>
      <c r="G3" t="s">
        <v>22</v>
      </c>
      <c r="H3" t="s">
        <v>23</v>
      </c>
      <c r="I3" t="s">
        <v>24</v>
      </c>
      <c r="J3" t="s">
        <v>25</v>
      </c>
      <c r="K3" t="s">
        <v>26</v>
      </c>
      <c r="L3" t="s">
        <v>27</v>
      </c>
      <c r="M3" t="s">
        <v>28</v>
      </c>
      <c r="N3" t="s">
        <v>29</v>
      </c>
      <c r="O3" t="s">
        <v>30</v>
      </c>
      <c r="P3" t="s">
        <v>31</v>
      </c>
      <c r="Q3" t="s">
        <v>32</v>
      </c>
      <c r="R3" t="s">
        <v>33</v>
      </c>
      <c r="S3" t="s">
        <v>34</v>
      </c>
      <c r="T3" t="s">
        <v>35</v>
      </c>
      <c r="U3" t="s">
        <v>36</v>
      </c>
      <c r="V3" t="s">
        <v>37</v>
      </c>
      <c r="W3" t="s">
        <v>12</v>
      </c>
      <c r="X3" t="s">
        <v>13</v>
      </c>
      <c r="Y3" t="s">
        <v>38</v>
      </c>
      <c r="Z3" t="s">
        <v>39</v>
      </c>
      <c r="AA3" t="s">
        <v>40</v>
      </c>
      <c r="AB3" t="s">
        <v>41</v>
      </c>
    </row>
    <row r="4" spans="1:28" x14ac:dyDescent="0.25">
      <c r="A4">
        <v>339</v>
      </c>
      <c r="B4" t="s">
        <v>42</v>
      </c>
      <c r="C4">
        <v>207</v>
      </c>
      <c r="D4" t="s">
        <v>43</v>
      </c>
      <c r="E4">
        <v>3134559518</v>
      </c>
      <c r="F4" t="s">
        <v>44</v>
      </c>
      <c r="G4">
        <v>9173041330</v>
      </c>
      <c r="H4" s="164">
        <v>44742</v>
      </c>
      <c r="I4" t="s">
        <v>45</v>
      </c>
      <c r="T4" s="75" t="s">
        <v>46</v>
      </c>
      <c r="U4" t="s">
        <v>47</v>
      </c>
      <c r="V4" t="s">
        <v>48</v>
      </c>
      <c r="W4" t="s">
        <v>49</v>
      </c>
      <c r="Y4" t="s">
        <v>50</v>
      </c>
      <c r="Z4">
        <v>17</v>
      </c>
      <c r="AB4" t="s">
        <v>50</v>
      </c>
    </row>
    <row r="5" spans="1:28" x14ac:dyDescent="0.25">
      <c r="A5">
        <v>338</v>
      </c>
      <c r="B5" t="s">
        <v>51</v>
      </c>
      <c r="C5">
        <v>207</v>
      </c>
      <c r="D5" t="s">
        <v>43</v>
      </c>
      <c r="E5">
        <v>3134559518</v>
      </c>
      <c r="F5" t="s">
        <v>44</v>
      </c>
      <c r="G5">
        <v>9173041330</v>
      </c>
      <c r="H5" s="164">
        <v>42501</v>
      </c>
      <c r="T5" s="75" t="s">
        <v>46</v>
      </c>
      <c r="U5" t="s">
        <v>52</v>
      </c>
      <c r="V5" t="s">
        <v>48</v>
      </c>
      <c r="W5" t="s">
        <v>49</v>
      </c>
      <c r="Y5" t="s">
        <v>50</v>
      </c>
      <c r="Z5">
        <v>16</v>
      </c>
      <c r="AB5" t="s">
        <v>50</v>
      </c>
    </row>
    <row r="6" spans="1:28" x14ac:dyDescent="0.25">
      <c r="A6">
        <v>332</v>
      </c>
      <c r="B6" t="s">
        <v>53</v>
      </c>
      <c r="C6">
        <v>204</v>
      </c>
      <c r="D6" t="s">
        <v>54</v>
      </c>
      <c r="E6">
        <v>5864476936</v>
      </c>
      <c r="F6" t="s">
        <v>55</v>
      </c>
      <c r="G6">
        <v>3132903310</v>
      </c>
      <c r="H6" s="164">
        <v>43706</v>
      </c>
      <c r="T6" s="75" t="s">
        <v>56</v>
      </c>
      <c r="U6" t="s">
        <v>57</v>
      </c>
      <c r="W6" t="s">
        <v>49</v>
      </c>
      <c r="Y6" t="s">
        <v>50</v>
      </c>
      <c r="Z6">
        <v>15</v>
      </c>
      <c r="AB6" t="s">
        <v>50</v>
      </c>
    </row>
    <row r="7" spans="1:28" x14ac:dyDescent="0.25">
      <c r="A7">
        <v>330</v>
      </c>
      <c r="B7" t="s">
        <v>58</v>
      </c>
      <c r="C7">
        <v>203</v>
      </c>
      <c r="D7" t="s">
        <v>59</v>
      </c>
      <c r="E7">
        <v>3475533962</v>
      </c>
      <c r="F7" t="s">
        <v>60</v>
      </c>
      <c r="G7">
        <v>2124702008</v>
      </c>
      <c r="H7" s="164">
        <v>41502</v>
      </c>
      <c r="I7" s="164">
        <v>3</v>
      </c>
      <c r="T7" s="75" t="s">
        <v>56</v>
      </c>
      <c r="U7" t="s">
        <v>61</v>
      </c>
      <c r="W7" t="s">
        <v>49</v>
      </c>
      <c r="Y7" t="s">
        <v>50</v>
      </c>
      <c r="Z7">
        <v>12</v>
      </c>
      <c r="AB7" t="s">
        <v>50</v>
      </c>
    </row>
    <row r="8" spans="1:28" x14ac:dyDescent="0.25">
      <c r="A8">
        <v>313</v>
      </c>
      <c r="B8" t="s">
        <v>62</v>
      </c>
      <c r="D8" t="s">
        <v>63</v>
      </c>
      <c r="I8">
        <v>3</v>
      </c>
      <c r="T8" s="75" t="s">
        <v>56</v>
      </c>
      <c r="W8" t="s">
        <v>49</v>
      </c>
      <c r="Y8" t="s">
        <v>50</v>
      </c>
      <c r="Z8">
        <v>9</v>
      </c>
      <c r="AB8" t="s">
        <v>50</v>
      </c>
    </row>
    <row r="9" spans="1:28" x14ac:dyDescent="0.25">
      <c r="A9">
        <v>169</v>
      </c>
      <c r="B9" t="s">
        <v>64</v>
      </c>
      <c r="C9">
        <v>105</v>
      </c>
      <c r="D9" t="s">
        <v>65</v>
      </c>
      <c r="E9">
        <v>13476538722</v>
      </c>
      <c r="F9" t="s">
        <v>66</v>
      </c>
      <c r="H9">
        <v>6</v>
      </c>
      <c r="I9">
        <v>1</v>
      </c>
      <c r="J9" t="s">
        <v>67</v>
      </c>
      <c r="K9" t="s">
        <v>68</v>
      </c>
      <c r="L9" t="s">
        <v>69</v>
      </c>
      <c r="M9">
        <v>48092</v>
      </c>
      <c r="T9" s="75" t="s">
        <v>56</v>
      </c>
      <c r="U9" t="s">
        <v>57</v>
      </c>
      <c r="W9" t="s">
        <v>49</v>
      </c>
      <c r="Y9" t="s">
        <v>50</v>
      </c>
      <c r="Z9">
        <v>8</v>
      </c>
      <c r="AB9" t="s">
        <v>50</v>
      </c>
    </row>
    <row r="10" spans="1:28" x14ac:dyDescent="0.25">
      <c r="A10">
        <v>1</v>
      </c>
      <c r="B10" t="s">
        <v>70</v>
      </c>
      <c r="C10">
        <v>1</v>
      </c>
      <c r="D10" t="s">
        <v>71</v>
      </c>
      <c r="E10">
        <v>12484796254</v>
      </c>
      <c r="F10" t="s">
        <v>72</v>
      </c>
      <c r="I10">
        <v>1</v>
      </c>
      <c r="J10" t="s">
        <v>73</v>
      </c>
      <c r="K10" t="s">
        <v>68</v>
      </c>
      <c r="L10" t="s">
        <v>69</v>
      </c>
      <c r="M10">
        <v>48091</v>
      </c>
      <c r="O10" t="s">
        <v>74</v>
      </c>
      <c r="P10" t="s">
        <v>75</v>
      </c>
      <c r="R10">
        <v>13136031250</v>
      </c>
      <c r="T10" s="75" t="s">
        <v>56</v>
      </c>
      <c r="W10" t="s">
        <v>49</v>
      </c>
      <c r="Y10" t="s">
        <v>50</v>
      </c>
      <c r="Z10">
        <v>6</v>
      </c>
      <c r="AB10" t="s">
        <v>50</v>
      </c>
    </row>
    <row r="11" spans="1:28" x14ac:dyDescent="0.25">
      <c r="A11">
        <v>141</v>
      </c>
      <c r="B11" t="s">
        <v>76</v>
      </c>
      <c r="C11">
        <v>89</v>
      </c>
      <c r="D11" t="s">
        <v>77</v>
      </c>
      <c r="E11">
        <v>15867224348</v>
      </c>
      <c r="F11" t="s">
        <v>78</v>
      </c>
      <c r="G11">
        <v>15867224348</v>
      </c>
      <c r="H11">
        <v>9</v>
      </c>
      <c r="I11">
        <v>1</v>
      </c>
      <c r="J11" t="s">
        <v>79</v>
      </c>
      <c r="K11" t="s">
        <v>68</v>
      </c>
      <c r="L11" t="s">
        <v>69</v>
      </c>
      <c r="M11">
        <v>48091</v>
      </c>
      <c r="T11" s="75" t="s">
        <v>56</v>
      </c>
      <c r="U11" t="s">
        <v>80</v>
      </c>
      <c r="W11" t="s">
        <v>49</v>
      </c>
      <c r="Y11" t="s">
        <v>50</v>
      </c>
      <c r="Z11">
        <v>2</v>
      </c>
      <c r="AB11" t="s">
        <v>50</v>
      </c>
    </row>
    <row r="12" spans="1:28" x14ac:dyDescent="0.25">
      <c r="A12">
        <v>258</v>
      </c>
      <c r="B12" t="s">
        <v>81</v>
      </c>
      <c r="C12">
        <v>165</v>
      </c>
      <c r="D12" t="s">
        <v>82</v>
      </c>
      <c r="E12">
        <v>12488259977</v>
      </c>
      <c r="F12" t="s">
        <v>83</v>
      </c>
      <c r="G12">
        <v>13134458008</v>
      </c>
      <c r="H12">
        <v>10</v>
      </c>
      <c r="I12">
        <v>3</v>
      </c>
      <c r="J12" t="s">
        <v>84</v>
      </c>
      <c r="K12" t="s">
        <v>68</v>
      </c>
      <c r="L12" t="s">
        <v>69</v>
      </c>
      <c r="M12">
        <v>48091</v>
      </c>
      <c r="N12">
        <v>0</v>
      </c>
      <c r="O12">
        <v>0</v>
      </c>
      <c r="P12">
        <v>0</v>
      </c>
      <c r="Q12">
        <v>0</v>
      </c>
      <c r="R12">
        <v>0</v>
      </c>
      <c r="S12">
        <v>0</v>
      </c>
      <c r="T12" s="75" t="s">
        <v>56</v>
      </c>
      <c r="U12" t="s">
        <v>85</v>
      </c>
      <c r="W12" t="s">
        <v>49</v>
      </c>
      <c r="Y12" t="s">
        <v>50</v>
      </c>
      <c r="Z12">
        <v>1</v>
      </c>
      <c r="AB12" t="s">
        <v>50</v>
      </c>
    </row>
    <row r="13" spans="1:28" x14ac:dyDescent="0.25">
      <c r="A13">
        <v>2</v>
      </c>
      <c r="B13" t="s">
        <v>86</v>
      </c>
      <c r="C13">
        <v>1</v>
      </c>
      <c r="D13" t="s">
        <v>71</v>
      </c>
      <c r="E13">
        <v>12484796254</v>
      </c>
      <c r="F13" t="s">
        <v>72</v>
      </c>
      <c r="J13" t="s">
        <v>73</v>
      </c>
      <c r="K13" t="s">
        <v>68</v>
      </c>
      <c r="L13" t="s">
        <v>69</v>
      </c>
      <c r="M13">
        <v>48091</v>
      </c>
      <c r="O13" t="s">
        <v>74</v>
      </c>
      <c r="P13" t="s">
        <v>75</v>
      </c>
      <c r="R13">
        <v>13136031250</v>
      </c>
      <c r="T13" s="75" t="s">
        <v>46</v>
      </c>
      <c r="W13" t="s">
        <v>49</v>
      </c>
      <c r="Y13" t="s">
        <v>50</v>
      </c>
      <c r="Z13">
        <v>19</v>
      </c>
      <c r="AB13" t="s">
        <v>50</v>
      </c>
    </row>
    <row r="14" spans="1:28" x14ac:dyDescent="0.25">
      <c r="A14">
        <v>334</v>
      </c>
      <c r="B14" t="s">
        <v>87</v>
      </c>
      <c r="C14">
        <v>204</v>
      </c>
      <c r="D14" t="s">
        <v>88</v>
      </c>
      <c r="E14">
        <v>5864476936</v>
      </c>
      <c r="F14" t="s">
        <v>55</v>
      </c>
      <c r="G14">
        <v>3132903310</v>
      </c>
      <c r="H14" s="164">
        <v>44174</v>
      </c>
      <c r="T14" s="75" t="s">
        <v>46</v>
      </c>
      <c r="U14" t="s">
        <v>47</v>
      </c>
      <c r="W14" t="s">
        <v>49</v>
      </c>
      <c r="Y14" t="s">
        <v>50</v>
      </c>
      <c r="Z14">
        <v>18</v>
      </c>
      <c r="AB14" t="s">
        <v>50</v>
      </c>
    </row>
    <row r="15" spans="1:28" x14ac:dyDescent="0.25">
      <c r="A15">
        <v>152</v>
      </c>
      <c r="B15" t="s">
        <v>89</v>
      </c>
      <c r="C15">
        <v>95</v>
      </c>
      <c r="D15" t="s">
        <v>90</v>
      </c>
      <c r="E15">
        <v>13133277976</v>
      </c>
      <c r="F15" t="s">
        <v>91</v>
      </c>
      <c r="H15">
        <v>6</v>
      </c>
      <c r="I15">
        <v>2</v>
      </c>
      <c r="J15" t="s">
        <v>92</v>
      </c>
      <c r="K15" t="s">
        <v>93</v>
      </c>
      <c r="L15" t="s">
        <v>69</v>
      </c>
      <c r="M15">
        <v>48310</v>
      </c>
      <c r="N15" t="s">
        <v>94</v>
      </c>
      <c r="T15" s="75" t="s">
        <v>46</v>
      </c>
      <c r="U15" t="s">
        <v>95</v>
      </c>
      <c r="W15" t="s">
        <v>49</v>
      </c>
      <c r="Y15" t="s">
        <v>50</v>
      </c>
      <c r="Z15">
        <v>13</v>
      </c>
      <c r="AB15" t="s">
        <v>50</v>
      </c>
    </row>
    <row r="16" spans="1:28" x14ac:dyDescent="0.25">
      <c r="A16">
        <v>325</v>
      </c>
      <c r="B16" t="s">
        <v>96</v>
      </c>
      <c r="C16">
        <v>202</v>
      </c>
      <c r="D16" t="s">
        <v>97</v>
      </c>
      <c r="E16">
        <v>3137075251</v>
      </c>
      <c r="F16" t="s">
        <v>98</v>
      </c>
      <c r="G16">
        <v>3479937949</v>
      </c>
      <c r="H16" s="164">
        <v>42881</v>
      </c>
      <c r="I16">
        <v>2</v>
      </c>
      <c r="J16" t="s">
        <v>99</v>
      </c>
      <c r="K16" t="s">
        <v>68</v>
      </c>
      <c r="L16" t="s">
        <v>69</v>
      </c>
      <c r="M16">
        <v>48089</v>
      </c>
      <c r="O16" t="s">
        <v>100</v>
      </c>
      <c r="P16" t="s">
        <v>101</v>
      </c>
      <c r="R16">
        <v>13139999345</v>
      </c>
      <c r="T16" s="75" t="s">
        <v>46</v>
      </c>
      <c r="U16" t="s">
        <v>80</v>
      </c>
      <c r="W16" t="s">
        <v>49</v>
      </c>
      <c r="Y16" t="s">
        <v>50</v>
      </c>
      <c r="Z16">
        <v>11</v>
      </c>
      <c r="AB16" t="s">
        <v>50</v>
      </c>
    </row>
    <row r="17" spans="1:28" x14ac:dyDescent="0.25">
      <c r="A17">
        <v>270</v>
      </c>
      <c r="B17" t="s">
        <v>102</v>
      </c>
      <c r="C17">
        <v>174</v>
      </c>
      <c r="D17" t="s">
        <v>103</v>
      </c>
      <c r="E17">
        <v>15863561234</v>
      </c>
      <c r="F17" t="s">
        <v>104</v>
      </c>
      <c r="G17">
        <v>0</v>
      </c>
      <c r="H17">
        <v>13</v>
      </c>
      <c r="I17">
        <v>2</v>
      </c>
      <c r="J17" t="s">
        <v>105</v>
      </c>
      <c r="K17" t="s">
        <v>68</v>
      </c>
      <c r="L17" t="s">
        <v>69</v>
      </c>
      <c r="M17">
        <v>48091</v>
      </c>
      <c r="N17" t="s">
        <v>106</v>
      </c>
      <c r="O17" t="s">
        <v>107</v>
      </c>
      <c r="P17" t="s">
        <v>75</v>
      </c>
      <c r="Q17" t="s">
        <v>108</v>
      </c>
      <c r="R17">
        <v>0</v>
      </c>
      <c r="S17">
        <v>0</v>
      </c>
      <c r="T17" s="75" t="s">
        <v>46</v>
      </c>
      <c r="U17" t="s">
        <v>109</v>
      </c>
      <c r="W17" t="s">
        <v>49</v>
      </c>
      <c r="Y17" t="s">
        <v>50</v>
      </c>
      <c r="Z17">
        <v>10</v>
      </c>
      <c r="AB17" t="s">
        <v>50</v>
      </c>
    </row>
    <row r="18" spans="1:28" x14ac:dyDescent="0.25">
      <c r="A18">
        <v>315</v>
      </c>
      <c r="B18" t="s">
        <v>110</v>
      </c>
      <c r="D18" t="s">
        <v>111</v>
      </c>
      <c r="F18" t="s">
        <v>112</v>
      </c>
      <c r="I18">
        <v>2</v>
      </c>
      <c r="T18" s="75" t="s">
        <v>46</v>
      </c>
      <c r="W18" t="s">
        <v>49</v>
      </c>
      <c r="Y18" t="s">
        <v>50</v>
      </c>
      <c r="Z18">
        <v>7</v>
      </c>
      <c r="AB18" t="s">
        <v>50</v>
      </c>
    </row>
    <row r="19" spans="1:28" x14ac:dyDescent="0.25">
      <c r="A19">
        <v>153</v>
      </c>
      <c r="B19" t="s">
        <v>113</v>
      </c>
      <c r="C19">
        <v>95</v>
      </c>
      <c r="D19" t="s">
        <v>90</v>
      </c>
      <c r="E19">
        <v>13133277976</v>
      </c>
      <c r="F19" t="s">
        <v>91</v>
      </c>
      <c r="H19">
        <v>5</v>
      </c>
      <c r="I19">
        <v>1</v>
      </c>
      <c r="J19" t="s">
        <v>92</v>
      </c>
      <c r="K19" t="s">
        <v>93</v>
      </c>
      <c r="L19" t="s">
        <v>69</v>
      </c>
      <c r="M19">
        <v>48310</v>
      </c>
      <c r="N19" t="s">
        <v>94</v>
      </c>
      <c r="T19" s="75" t="s">
        <v>46</v>
      </c>
      <c r="U19" t="s">
        <v>57</v>
      </c>
      <c r="W19" t="s">
        <v>49</v>
      </c>
      <c r="Y19" t="s">
        <v>50</v>
      </c>
      <c r="Z19">
        <v>6</v>
      </c>
      <c r="AB19" t="s">
        <v>50</v>
      </c>
    </row>
    <row r="20" spans="1:28" x14ac:dyDescent="0.25">
      <c r="A20">
        <v>179</v>
      </c>
      <c r="B20" t="s">
        <v>114</v>
      </c>
      <c r="C20">
        <v>111</v>
      </c>
      <c r="D20" t="s">
        <v>115</v>
      </c>
      <c r="E20">
        <v>15715240210</v>
      </c>
      <c r="F20" t="s">
        <v>116</v>
      </c>
      <c r="G20">
        <v>15867465650</v>
      </c>
      <c r="H20">
        <v>6</v>
      </c>
      <c r="I20">
        <v>1</v>
      </c>
      <c r="J20" t="s">
        <v>117</v>
      </c>
      <c r="K20" t="s">
        <v>68</v>
      </c>
      <c r="L20" t="s">
        <v>69</v>
      </c>
      <c r="M20">
        <v>48091</v>
      </c>
      <c r="T20" s="75" t="s">
        <v>46</v>
      </c>
      <c r="U20" t="s">
        <v>57</v>
      </c>
      <c r="W20" t="s">
        <v>49</v>
      </c>
      <c r="Y20" t="s">
        <v>50</v>
      </c>
      <c r="Z20">
        <v>2</v>
      </c>
      <c r="AB20" t="s">
        <v>50</v>
      </c>
    </row>
  </sheetData>
  <pageMargins left="0.25" right="0.25" top="0.5" bottom="0.25" header="0.25" footer="0.25"/>
  <pageSetup scale="87" orientation="landscape" horizontalDpi="0"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F4B34-D4CD-41F8-9937-2C1AFF4A095A}">
  <sheetPr codeName="Sheet8">
    <pageSetUpPr fitToPage="1"/>
  </sheetPr>
  <dimension ref="A1:AB20"/>
  <sheetViews>
    <sheetView workbookViewId="0">
      <selection activeCell="B8" sqref="B8"/>
    </sheetView>
  </sheetViews>
  <sheetFormatPr defaultRowHeight="15" x14ac:dyDescent="0.25"/>
  <cols>
    <col min="1" max="1" width="9.28515625" bestFit="1" customWidth="1"/>
    <col min="2" max="2" width="24.5703125" bestFit="1" customWidth="1"/>
    <col min="3" max="3" width="9.28515625" bestFit="1" customWidth="1"/>
    <col min="4" max="4" width="25.28515625" bestFit="1" customWidth="1"/>
    <col min="5" max="5" width="15.140625" bestFit="1" customWidth="1"/>
    <col min="6" max="6" width="18.140625" bestFit="1" customWidth="1"/>
    <col min="7" max="7" width="16.28515625" bestFit="1" customWidth="1"/>
    <col min="8" max="9" width="9.28515625" hidden="1" customWidth="1"/>
    <col min="10" max="10" width="23.7109375" hidden="1" customWidth="1"/>
    <col min="11" max="12" width="9.28515625" hidden="1" customWidth="1"/>
    <col min="13" max="13" width="11" hidden="1" customWidth="1"/>
    <col min="14" max="14" width="26.140625" hidden="1" customWidth="1"/>
    <col min="15" max="15" width="26.28515625" hidden="1" customWidth="1"/>
    <col min="16" max="16" width="32.42578125" hidden="1" customWidth="1"/>
    <col min="17" max="17" width="32.7109375" hidden="1" customWidth="1"/>
    <col min="18" max="18" width="30.7109375" hidden="1" customWidth="1"/>
    <col min="19" max="19" width="25.85546875" hidden="1" customWidth="1"/>
    <col min="20" max="20" width="10" bestFit="1" customWidth="1"/>
    <col min="21" max="21" width="12.5703125" bestFit="1" customWidth="1"/>
    <col min="22" max="22" width="9.28515625" bestFit="1" customWidth="1"/>
    <col min="23" max="23" width="24.7109375" hidden="1" customWidth="1"/>
    <col min="24" max="24" width="16.5703125" hidden="1" customWidth="1"/>
    <col min="25" max="25" width="22.85546875" hidden="1" customWidth="1"/>
    <col min="26" max="26" width="14.7109375" hidden="1" customWidth="1"/>
    <col min="27" max="27" width="12.85546875" hidden="1" customWidth="1"/>
    <col min="28" max="28" width="20.5703125" hidden="1" customWidth="1"/>
  </cols>
  <sheetData>
    <row r="1" spans="1:28" x14ac:dyDescent="0.25">
      <c r="A1" s="165" t="s">
        <v>118</v>
      </c>
    </row>
    <row r="3" spans="1:28" x14ac:dyDescent="0.25">
      <c r="A3" t="s">
        <v>16</v>
      </c>
      <c r="B3" t="s">
        <v>17</v>
      </c>
      <c r="C3" t="s">
        <v>18</v>
      </c>
      <c r="D3" t="s">
        <v>19</v>
      </c>
      <c r="E3" t="s">
        <v>20</v>
      </c>
      <c r="F3" t="s">
        <v>21</v>
      </c>
      <c r="G3" t="s">
        <v>22</v>
      </c>
      <c r="H3" t="s">
        <v>23</v>
      </c>
      <c r="I3" t="s">
        <v>24</v>
      </c>
      <c r="J3" t="s">
        <v>25</v>
      </c>
      <c r="K3" t="s">
        <v>26</v>
      </c>
      <c r="L3" t="s">
        <v>27</v>
      </c>
      <c r="M3" t="s">
        <v>28</v>
      </c>
      <c r="N3" t="s">
        <v>29</v>
      </c>
      <c r="O3" t="s">
        <v>30</v>
      </c>
      <c r="P3" t="s">
        <v>31</v>
      </c>
      <c r="Q3" t="s">
        <v>32</v>
      </c>
      <c r="R3" t="s">
        <v>33</v>
      </c>
      <c r="S3" t="s">
        <v>34</v>
      </c>
      <c r="T3" t="s">
        <v>35</v>
      </c>
      <c r="U3" t="s">
        <v>36</v>
      </c>
      <c r="V3" t="s">
        <v>37</v>
      </c>
      <c r="W3" t="s">
        <v>12</v>
      </c>
      <c r="X3" t="s">
        <v>13</v>
      </c>
      <c r="Y3" t="s">
        <v>38</v>
      </c>
      <c r="Z3" t="s">
        <v>39</v>
      </c>
      <c r="AA3" t="s">
        <v>40</v>
      </c>
      <c r="AB3" t="s">
        <v>41</v>
      </c>
    </row>
    <row r="4" spans="1:28" x14ac:dyDescent="0.25">
      <c r="A4" s="166">
        <v>69</v>
      </c>
      <c r="B4" s="166" t="s">
        <v>119</v>
      </c>
      <c r="C4" s="166">
        <v>40</v>
      </c>
      <c r="D4" s="166" t="s">
        <v>120</v>
      </c>
      <c r="E4" s="166">
        <v>16464794711</v>
      </c>
      <c r="F4" s="166"/>
      <c r="G4" s="166"/>
      <c r="H4" s="166">
        <v>7</v>
      </c>
      <c r="I4" s="166">
        <v>3</v>
      </c>
      <c r="J4" s="166" t="s">
        <v>121</v>
      </c>
      <c r="K4" s="166" t="s">
        <v>68</v>
      </c>
      <c r="L4" s="166" t="s">
        <v>69</v>
      </c>
      <c r="M4" s="166">
        <v>48091</v>
      </c>
      <c r="N4" s="166" t="s">
        <v>122</v>
      </c>
      <c r="O4" s="166"/>
      <c r="P4" s="166"/>
      <c r="Q4" s="166"/>
      <c r="R4" s="166"/>
      <c r="S4" s="166"/>
      <c r="T4" s="169" t="s">
        <v>56</v>
      </c>
      <c r="U4" s="166" t="s">
        <v>95</v>
      </c>
      <c r="V4" s="169">
        <v>2</v>
      </c>
      <c r="W4" t="s">
        <v>50</v>
      </c>
      <c r="X4">
        <v>2</v>
      </c>
      <c r="Y4" t="s">
        <v>50</v>
      </c>
      <c r="Z4">
        <v>5</v>
      </c>
      <c r="AB4" t="s">
        <v>50</v>
      </c>
    </row>
    <row r="5" spans="1:28" x14ac:dyDescent="0.25">
      <c r="A5" s="166">
        <v>194</v>
      </c>
      <c r="B5" s="166" t="s">
        <v>123</v>
      </c>
      <c r="C5" s="166">
        <v>120</v>
      </c>
      <c r="D5" s="166" t="s">
        <v>124</v>
      </c>
      <c r="E5" s="166">
        <v>19292718114</v>
      </c>
      <c r="F5" s="166" t="s">
        <v>125</v>
      </c>
      <c r="G5" s="166">
        <v>15864578683</v>
      </c>
      <c r="H5" s="166">
        <v>8</v>
      </c>
      <c r="I5" s="166">
        <v>3</v>
      </c>
      <c r="J5" s="166" t="s">
        <v>126</v>
      </c>
      <c r="K5" s="166" t="s">
        <v>68</v>
      </c>
      <c r="L5" s="166" t="s">
        <v>69</v>
      </c>
      <c r="M5" s="166">
        <v>48091</v>
      </c>
      <c r="N5" s="166"/>
      <c r="O5" s="166"/>
      <c r="P5" s="166"/>
      <c r="Q5" s="166"/>
      <c r="R5" s="166"/>
      <c r="S5" s="166"/>
      <c r="T5" s="169" t="s">
        <v>56</v>
      </c>
      <c r="U5" s="166" t="s">
        <v>52</v>
      </c>
      <c r="V5" s="169">
        <v>3</v>
      </c>
      <c r="W5" t="s">
        <v>50</v>
      </c>
      <c r="X5">
        <v>9</v>
      </c>
      <c r="Y5" t="s">
        <v>50</v>
      </c>
      <c r="Z5">
        <v>14</v>
      </c>
      <c r="AB5" t="s">
        <v>50</v>
      </c>
    </row>
    <row r="6" spans="1:28" x14ac:dyDescent="0.25">
      <c r="A6" s="166">
        <v>275</v>
      </c>
      <c r="B6" s="166" t="s">
        <v>127</v>
      </c>
      <c r="C6" s="166">
        <v>177</v>
      </c>
      <c r="D6" s="166" t="s">
        <v>128</v>
      </c>
      <c r="E6" s="166">
        <v>15862379790</v>
      </c>
      <c r="F6" s="166" t="s">
        <v>129</v>
      </c>
      <c r="G6" s="166">
        <v>15869436744</v>
      </c>
      <c r="H6" s="166">
        <v>5</v>
      </c>
      <c r="I6" s="166">
        <v>3</v>
      </c>
      <c r="J6" s="166" t="s">
        <v>130</v>
      </c>
      <c r="K6" s="166" t="s">
        <v>68</v>
      </c>
      <c r="L6" s="166" t="s">
        <v>69</v>
      </c>
      <c r="M6" s="166">
        <v>48092</v>
      </c>
      <c r="N6" s="166" t="s">
        <v>131</v>
      </c>
      <c r="O6" s="166">
        <v>0</v>
      </c>
      <c r="P6" s="166">
        <v>0</v>
      </c>
      <c r="Q6" s="166">
        <v>0</v>
      </c>
      <c r="R6" s="166">
        <v>0</v>
      </c>
      <c r="S6" s="166">
        <v>0</v>
      </c>
      <c r="T6" s="169" t="s">
        <v>56</v>
      </c>
      <c r="U6" s="166" t="s">
        <v>57</v>
      </c>
      <c r="V6" s="169" t="s">
        <v>48</v>
      </c>
      <c r="W6" t="s">
        <v>50</v>
      </c>
      <c r="X6">
        <v>8</v>
      </c>
      <c r="Y6" t="s">
        <v>50</v>
      </c>
      <c r="Z6">
        <v>10</v>
      </c>
      <c r="AB6" t="s">
        <v>50</v>
      </c>
    </row>
    <row r="7" spans="1:28" x14ac:dyDescent="0.25">
      <c r="A7" s="166">
        <v>143</v>
      </c>
      <c r="B7" s="166" t="s">
        <v>132</v>
      </c>
      <c r="C7" s="166">
        <v>90</v>
      </c>
      <c r="D7" s="166" t="s">
        <v>133</v>
      </c>
      <c r="E7" s="166">
        <v>13136031479</v>
      </c>
      <c r="F7" s="166" t="s">
        <v>134</v>
      </c>
      <c r="G7" s="166">
        <v>15864816473</v>
      </c>
      <c r="H7" s="166">
        <v>7</v>
      </c>
      <c r="I7" s="166">
        <v>1</v>
      </c>
      <c r="J7" s="166" t="s">
        <v>135</v>
      </c>
      <c r="K7" s="166" t="s">
        <v>68</v>
      </c>
      <c r="L7" s="166" t="s">
        <v>69</v>
      </c>
      <c r="M7" s="166">
        <v>48091</v>
      </c>
      <c r="N7" s="166" t="s">
        <v>136</v>
      </c>
      <c r="O7" s="166"/>
      <c r="P7" s="166"/>
      <c r="Q7" s="166"/>
      <c r="R7" s="166"/>
      <c r="S7" s="166"/>
      <c r="T7" s="169" t="s">
        <v>56</v>
      </c>
      <c r="U7" s="166" t="s">
        <v>95</v>
      </c>
      <c r="V7" s="169" t="s">
        <v>137</v>
      </c>
      <c r="W7" t="s">
        <v>50</v>
      </c>
      <c r="X7">
        <v>4</v>
      </c>
      <c r="Y7" t="s">
        <v>50</v>
      </c>
      <c r="Z7">
        <v>4</v>
      </c>
      <c r="AB7" t="s">
        <v>50</v>
      </c>
    </row>
    <row r="8" spans="1:28" x14ac:dyDescent="0.25">
      <c r="A8" s="166">
        <v>34</v>
      </c>
      <c r="B8" s="166" t="s">
        <v>138</v>
      </c>
      <c r="C8" s="166">
        <v>19</v>
      </c>
      <c r="D8" s="166" t="s">
        <v>139</v>
      </c>
      <c r="E8" s="166">
        <v>15864572462</v>
      </c>
      <c r="F8" s="166" t="s">
        <v>140</v>
      </c>
      <c r="G8" s="166"/>
      <c r="H8" s="166">
        <v>10</v>
      </c>
      <c r="I8" s="166">
        <v>3</v>
      </c>
      <c r="J8" s="166" t="s">
        <v>141</v>
      </c>
      <c r="K8" s="166" t="s">
        <v>68</v>
      </c>
      <c r="L8" s="166" t="s">
        <v>69</v>
      </c>
      <c r="M8" s="166">
        <v>48091</v>
      </c>
      <c r="N8" s="166"/>
      <c r="O8" s="166"/>
      <c r="P8" s="166"/>
      <c r="Q8" s="166"/>
      <c r="R8" s="166"/>
      <c r="S8" s="166"/>
      <c r="T8" s="169" t="s">
        <v>56</v>
      </c>
      <c r="U8" s="166" t="s">
        <v>52</v>
      </c>
      <c r="V8" s="169" t="s">
        <v>142</v>
      </c>
      <c r="W8" t="s">
        <v>50</v>
      </c>
      <c r="X8">
        <v>4</v>
      </c>
      <c r="Y8" t="s">
        <v>50</v>
      </c>
      <c r="Z8">
        <v>3</v>
      </c>
      <c r="AB8" t="s">
        <v>50</v>
      </c>
    </row>
    <row r="9" spans="1:28" x14ac:dyDescent="0.25">
      <c r="A9" s="166">
        <v>142</v>
      </c>
      <c r="B9" s="166" t="s">
        <v>143</v>
      </c>
      <c r="C9" s="166">
        <v>90</v>
      </c>
      <c r="D9" s="166" t="s">
        <v>133</v>
      </c>
      <c r="E9" s="166">
        <v>13136031479</v>
      </c>
      <c r="F9" s="166" t="s">
        <v>134</v>
      </c>
      <c r="G9" s="166">
        <v>15864816473</v>
      </c>
      <c r="H9" s="166">
        <v>8</v>
      </c>
      <c r="I9" s="166">
        <v>3</v>
      </c>
      <c r="J9" s="166" t="s">
        <v>135</v>
      </c>
      <c r="K9" s="166" t="s">
        <v>68</v>
      </c>
      <c r="L9" s="166" t="s">
        <v>69</v>
      </c>
      <c r="M9" s="166">
        <v>48091</v>
      </c>
      <c r="N9" s="166" t="s">
        <v>136</v>
      </c>
      <c r="O9" s="166"/>
      <c r="P9" s="166"/>
      <c r="Q9" s="166"/>
      <c r="R9" s="166"/>
      <c r="S9" s="166"/>
      <c r="T9" s="169" t="s">
        <v>56</v>
      </c>
      <c r="U9" s="166" t="s">
        <v>95</v>
      </c>
      <c r="V9" s="169" t="s">
        <v>142</v>
      </c>
      <c r="W9" t="s">
        <v>50</v>
      </c>
      <c r="X9">
        <v>7</v>
      </c>
      <c r="Y9" t="s">
        <v>50</v>
      </c>
      <c r="Z9">
        <v>7</v>
      </c>
      <c r="AB9" t="s">
        <v>50</v>
      </c>
    </row>
    <row r="10" spans="1:28" x14ac:dyDescent="0.25">
      <c r="A10" s="166">
        <v>248</v>
      </c>
      <c r="B10" s="166" t="s">
        <v>144</v>
      </c>
      <c r="C10" s="166">
        <v>157</v>
      </c>
      <c r="D10" s="166" t="s">
        <v>145</v>
      </c>
      <c r="E10" s="166">
        <v>15866905467</v>
      </c>
      <c r="F10" s="166" t="s">
        <v>146</v>
      </c>
      <c r="G10" s="166">
        <v>15866905471</v>
      </c>
      <c r="H10" s="166">
        <v>7</v>
      </c>
      <c r="I10" s="166">
        <v>1</v>
      </c>
      <c r="J10" s="166" t="s">
        <v>147</v>
      </c>
      <c r="K10" s="166" t="s">
        <v>68</v>
      </c>
      <c r="L10" s="166" t="s">
        <v>69</v>
      </c>
      <c r="M10" s="166">
        <v>48091</v>
      </c>
      <c r="N10" s="166"/>
      <c r="O10" s="166"/>
      <c r="P10" s="166"/>
      <c r="Q10" s="166"/>
      <c r="R10" s="166"/>
      <c r="S10" s="166"/>
      <c r="T10" s="169" t="s">
        <v>56</v>
      </c>
      <c r="U10" s="166" t="s">
        <v>57</v>
      </c>
      <c r="V10" s="169" t="s">
        <v>142</v>
      </c>
      <c r="W10" t="s">
        <v>50</v>
      </c>
      <c r="X10">
        <v>16</v>
      </c>
      <c r="Y10" t="s">
        <v>50</v>
      </c>
      <c r="Z10">
        <v>11</v>
      </c>
      <c r="AB10" t="s">
        <v>50</v>
      </c>
    </row>
    <row r="11" spans="1:28" x14ac:dyDescent="0.25">
      <c r="A11" s="167">
        <v>31</v>
      </c>
      <c r="B11" s="167" t="s">
        <v>148</v>
      </c>
      <c r="C11" s="167">
        <v>17</v>
      </c>
      <c r="D11" s="167" t="s">
        <v>149</v>
      </c>
      <c r="E11" s="167">
        <v>13133126891</v>
      </c>
      <c r="F11" s="167" t="s">
        <v>150</v>
      </c>
      <c r="G11" s="167"/>
      <c r="H11" s="167">
        <v>6</v>
      </c>
      <c r="I11" s="167">
        <v>2</v>
      </c>
      <c r="J11" s="167" t="s">
        <v>151</v>
      </c>
      <c r="K11" s="167" t="s">
        <v>68</v>
      </c>
      <c r="L11" s="167" t="s">
        <v>69</v>
      </c>
      <c r="M11" s="167">
        <v>48091</v>
      </c>
      <c r="N11" s="167"/>
      <c r="O11" s="167"/>
      <c r="P11" s="167"/>
      <c r="Q11" s="167"/>
      <c r="R11" s="167"/>
      <c r="S11" s="167"/>
      <c r="T11" s="168" t="s">
        <v>46</v>
      </c>
      <c r="U11" s="167" t="s">
        <v>57</v>
      </c>
      <c r="V11" s="168">
        <v>2</v>
      </c>
      <c r="W11" t="s">
        <v>50</v>
      </c>
      <c r="X11">
        <v>13</v>
      </c>
      <c r="Y11" t="s">
        <v>50</v>
      </c>
      <c r="Z11">
        <v>15</v>
      </c>
      <c r="AB11" t="s">
        <v>50</v>
      </c>
    </row>
    <row r="12" spans="1:28" x14ac:dyDescent="0.25">
      <c r="A12" s="167">
        <v>239</v>
      </c>
      <c r="B12" s="167" t="s">
        <v>152</v>
      </c>
      <c r="C12" s="167">
        <v>151</v>
      </c>
      <c r="D12" s="167" t="s">
        <v>153</v>
      </c>
      <c r="E12" s="167">
        <v>13136030562</v>
      </c>
      <c r="F12" s="167" t="s">
        <v>154</v>
      </c>
      <c r="G12" s="167">
        <v>13136030562</v>
      </c>
      <c r="H12" s="167">
        <v>12</v>
      </c>
      <c r="I12" s="167">
        <v>2</v>
      </c>
      <c r="J12" s="167" t="s">
        <v>155</v>
      </c>
      <c r="K12" s="167" t="s">
        <v>68</v>
      </c>
      <c r="L12" s="167" t="s">
        <v>69</v>
      </c>
      <c r="M12" s="167">
        <v>48092</v>
      </c>
      <c r="N12" s="167"/>
      <c r="O12" s="167"/>
      <c r="P12" s="167"/>
      <c r="Q12" s="167"/>
      <c r="R12" s="167"/>
      <c r="S12" s="167"/>
      <c r="T12" s="168" t="s">
        <v>46</v>
      </c>
      <c r="U12" s="167" t="s">
        <v>156</v>
      </c>
      <c r="V12" s="168">
        <v>2</v>
      </c>
      <c r="W12" t="s">
        <v>50</v>
      </c>
      <c r="X12">
        <v>16</v>
      </c>
      <c r="Y12" t="s">
        <v>50</v>
      </c>
      <c r="Z12">
        <v>4</v>
      </c>
      <c r="AB12" t="s">
        <v>50</v>
      </c>
    </row>
    <row r="13" spans="1:28" x14ac:dyDescent="0.25">
      <c r="A13" s="167">
        <v>29</v>
      </c>
      <c r="B13" s="167" t="s">
        <v>157</v>
      </c>
      <c r="C13" s="167">
        <v>17</v>
      </c>
      <c r="D13" s="167" t="s">
        <v>149</v>
      </c>
      <c r="E13" s="167">
        <v>13133126891</v>
      </c>
      <c r="F13" s="167" t="s">
        <v>150</v>
      </c>
      <c r="G13" s="167"/>
      <c r="H13" s="167">
        <v>12</v>
      </c>
      <c r="I13" s="167">
        <v>2</v>
      </c>
      <c r="J13" s="167" t="s">
        <v>151</v>
      </c>
      <c r="K13" s="167" t="s">
        <v>68</v>
      </c>
      <c r="L13" s="167" t="s">
        <v>69</v>
      </c>
      <c r="M13" s="167">
        <v>48091</v>
      </c>
      <c r="N13" s="167"/>
      <c r="O13" s="167"/>
      <c r="P13" s="167"/>
      <c r="Q13" s="167"/>
      <c r="R13" s="167"/>
      <c r="S13" s="167"/>
      <c r="T13" s="168" t="s">
        <v>46</v>
      </c>
      <c r="U13" s="167" t="s">
        <v>61</v>
      </c>
      <c r="V13" s="168">
        <v>4</v>
      </c>
      <c r="W13" t="s">
        <v>50</v>
      </c>
      <c r="X13">
        <v>2</v>
      </c>
      <c r="Y13" t="s">
        <v>50</v>
      </c>
      <c r="Z13">
        <v>14</v>
      </c>
      <c r="AB13" t="s">
        <v>50</v>
      </c>
    </row>
    <row r="14" spans="1:28" x14ac:dyDescent="0.25">
      <c r="A14" s="167">
        <v>193</v>
      </c>
      <c r="B14" s="167" t="s">
        <v>158</v>
      </c>
      <c r="C14" s="167">
        <v>120</v>
      </c>
      <c r="D14" s="167" t="s">
        <v>124</v>
      </c>
      <c r="E14" s="167">
        <v>19292718114</v>
      </c>
      <c r="F14" s="167" t="s">
        <v>125</v>
      </c>
      <c r="G14" s="167">
        <v>15864578683</v>
      </c>
      <c r="H14" s="167">
        <v>10</v>
      </c>
      <c r="I14" s="167">
        <v>2</v>
      </c>
      <c r="J14" s="167" t="s">
        <v>126</v>
      </c>
      <c r="K14" s="167" t="s">
        <v>68</v>
      </c>
      <c r="L14" s="167" t="s">
        <v>69</v>
      </c>
      <c r="M14" s="167">
        <v>48091</v>
      </c>
      <c r="N14" s="167"/>
      <c r="O14" s="167"/>
      <c r="P14" s="167"/>
      <c r="Q14" s="167"/>
      <c r="R14" s="167"/>
      <c r="S14" s="167"/>
      <c r="T14" s="168" t="s">
        <v>46</v>
      </c>
      <c r="U14" s="167" t="s">
        <v>156</v>
      </c>
      <c r="V14" s="168">
        <v>4</v>
      </c>
      <c r="W14" t="s">
        <v>50</v>
      </c>
      <c r="X14">
        <v>9</v>
      </c>
      <c r="Y14" t="s">
        <v>50</v>
      </c>
      <c r="Z14">
        <v>12</v>
      </c>
      <c r="AB14" t="s">
        <v>50</v>
      </c>
    </row>
    <row r="15" spans="1:28" x14ac:dyDescent="0.25">
      <c r="A15" s="167">
        <v>20</v>
      </c>
      <c r="B15" s="167" t="s">
        <v>159</v>
      </c>
      <c r="C15" s="167">
        <v>11</v>
      </c>
      <c r="D15" s="167" t="s">
        <v>160</v>
      </c>
      <c r="E15" s="167">
        <v>15862246316</v>
      </c>
      <c r="F15" s="167" t="s">
        <v>161</v>
      </c>
      <c r="G15" s="167"/>
      <c r="H15" s="167">
        <v>11</v>
      </c>
      <c r="I15" s="167" t="s">
        <v>162</v>
      </c>
      <c r="J15" s="167" t="s">
        <v>163</v>
      </c>
      <c r="K15" s="167" t="s">
        <v>68</v>
      </c>
      <c r="L15" s="167" t="s">
        <v>69</v>
      </c>
      <c r="M15" s="167">
        <v>48091</v>
      </c>
      <c r="N15" s="167"/>
      <c r="O15" s="167" t="s">
        <v>164</v>
      </c>
      <c r="P15" s="167" t="s">
        <v>165</v>
      </c>
      <c r="Q15" s="167"/>
      <c r="R15" s="167">
        <v>15862247494</v>
      </c>
      <c r="S15" s="167"/>
      <c r="T15" s="168" t="s">
        <v>46</v>
      </c>
      <c r="U15" s="167"/>
      <c r="V15" s="168">
        <v>4</v>
      </c>
      <c r="W15" t="s">
        <v>50</v>
      </c>
      <c r="X15">
        <v>13</v>
      </c>
      <c r="Y15" t="s">
        <v>50</v>
      </c>
      <c r="Z15">
        <v>1</v>
      </c>
      <c r="AB15" t="s">
        <v>50</v>
      </c>
    </row>
    <row r="16" spans="1:28" x14ac:dyDescent="0.25">
      <c r="A16" s="167">
        <v>61</v>
      </c>
      <c r="B16" s="167" t="s">
        <v>166</v>
      </c>
      <c r="C16" s="167">
        <v>35</v>
      </c>
      <c r="D16" s="167" t="s">
        <v>167</v>
      </c>
      <c r="E16" s="167">
        <v>13136019890</v>
      </c>
      <c r="F16" s="167" t="s">
        <v>168</v>
      </c>
      <c r="G16" s="167"/>
      <c r="H16" s="167">
        <v>6</v>
      </c>
      <c r="I16" s="167">
        <v>1</v>
      </c>
      <c r="J16" s="167" t="s">
        <v>169</v>
      </c>
      <c r="K16" s="167" t="s">
        <v>68</v>
      </c>
      <c r="L16" s="167" t="s">
        <v>69</v>
      </c>
      <c r="M16" s="167">
        <v>48091</v>
      </c>
      <c r="N16" s="167"/>
      <c r="O16" s="167" t="s">
        <v>167</v>
      </c>
      <c r="P16" s="167" t="s">
        <v>170</v>
      </c>
      <c r="Q16" s="167">
        <v>16314649663</v>
      </c>
      <c r="R16" s="167"/>
      <c r="S16" s="167"/>
      <c r="T16" s="168" t="s">
        <v>46</v>
      </c>
      <c r="U16" s="167" t="s">
        <v>171</v>
      </c>
      <c r="V16" s="168" t="s">
        <v>48</v>
      </c>
      <c r="W16" t="s">
        <v>50</v>
      </c>
      <c r="X16">
        <v>3</v>
      </c>
      <c r="Y16" t="s">
        <v>50</v>
      </c>
      <c r="Z16">
        <v>5</v>
      </c>
      <c r="AB16" t="s">
        <v>50</v>
      </c>
    </row>
    <row r="17" spans="1:28" x14ac:dyDescent="0.25">
      <c r="A17" s="167">
        <v>99</v>
      </c>
      <c r="B17" s="167" t="s">
        <v>172</v>
      </c>
      <c r="C17" s="167">
        <v>59</v>
      </c>
      <c r="D17" s="167" t="s">
        <v>173</v>
      </c>
      <c r="E17" s="167">
        <v>15863605727</v>
      </c>
      <c r="F17" s="167" t="s">
        <v>174</v>
      </c>
      <c r="G17" s="167"/>
      <c r="H17" s="167">
        <v>5</v>
      </c>
      <c r="I17" s="167">
        <v>1</v>
      </c>
      <c r="J17" s="167" t="s">
        <v>175</v>
      </c>
      <c r="K17" s="167" t="s">
        <v>68</v>
      </c>
      <c r="L17" s="167" t="s">
        <v>69</v>
      </c>
      <c r="M17" s="167">
        <v>48091</v>
      </c>
      <c r="N17" s="167"/>
      <c r="O17" s="167" t="s">
        <v>176</v>
      </c>
      <c r="P17" s="167" t="s">
        <v>177</v>
      </c>
      <c r="Q17" s="167">
        <v>13136639771</v>
      </c>
      <c r="R17" s="167"/>
      <c r="S17" s="167"/>
      <c r="T17" s="168" t="s">
        <v>46</v>
      </c>
      <c r="U17" s="167" t="s">
        <v>171</v>
      </c>
      <c r="V17" s="168" t="s">
        <v>48</v>
      </c>
      <c r="W17" t="s">
        <v>50</v>
      </c>
      <c r="X17">
        <v>14</v>
      </c>
      <c r="Y17" t="s">
        <v>50</v>
      </c>
      <c r="Z17">
        <v>8</v>
      </c>
      <c r="AB17" t="s">
        <v>50</v>
      </c>
    </row>
    <row r="18" spans="1:28" x14ac:dyDescent="0.25">
      <c r="A18" s="167">
        <v>353</v>
      </c>
      <c r="B18" s="167" t="s">
        <v>178</v>
      </c>
      <c r="C18" s="167">
        <v>214</v>
      </c>
      <c r="D18" s="167" t="s">
        <v>179</v>
      </c>
      <c r="E18" s="167">
        <v>3476132874</v>
      </c>
      <c r="F18" s="167" t="s">
        <v>180</v>
      </c>
      <c r="G18" s="167"/>
      <c r="H18" s="167"/>
      <c r="I18" s="167" t="s">
        <v>45</v>
      </c>
      <c r="J18" s="167"/>
      <c r="K18" s="167"/>
      <c r="L18" s="167"/>
      <c r="M18" s="167"/>
      <c r="N18" s="167"/>
      <c r="O18" s="167"/>
      <c r="P18" s="167"/>
      <c r="Q18" s="167"/>
      <c r="R18" s="167"/>
      <c r="S18" s="167"/>
      <c r="T18" s="168" t="s">
        <v>46</v>
      </c>
      <c r="U18" s="167" t="s">
        <v>171</v>
      </c>
      <c r="V18" s="168" t="s">
        <v>48</v>
      </c>
      <c r="W18" t="s">
        <v>50</v>
      </c>
      <c r="X18">
        <v>15</v>
      </c>
      <c r="Y18" t="s">
        <v>50</v>
      </c>
      <c r="Z18">
        <v>50</v>
      </c>
      <c r="AB18" t="s">
        <v>50</v>
      </c>
    </row>
    <row r="19" spans="1:28" x14ac:dyDescent="0.25">
      <c r="A19" s="167">
        <v>144</v>
      </c>
      <c r="B19" s="167" t="s">
        <v>181</v>
      </c>
      <c r="C19" s="167">
        <v>90</v>
      </c>
      <c r="D19" s="167" t="s">
        <v>133</v>
      </c>
      <c r="E19" s="167">
        <v>13136031479</v>
      </c>
      <c r="F19" s="167" t="s">
        <v>134</v>
      </c>
      <c r="G19" s="167">
        <v>15864816473</v>
      </c>
      <c r="H19" s="167">
        <v>6</v>
      </c>
      <c r="I19" s="167">
        <v>2</v>
      </c>
      <c r="J19" s="167" t="s">
        <v>135</v>
      </c>
      <c r="K19" s="167" t="s">
        <v>68</v>
      </c>
      <c r="L19" s="167" t="s">
        <v>69</v>
      </c>
      <c r="M19" s="167">
        <v>48091</v>
      </c>
      <c r="N19" s="167" t="s">
        <v>136</v>
      </c>
      <c r="O19" s="167"/>
      <c r="P19" s="167"/>
      <c r="Q19" s="167"/>
      <c r="R19" s="167"/>
      <c r="S19" s="167"/>
      <c r="T19" s="168" t="s">
        <v>46</v>
      </c>
      <c r="U19" s="167" t="s">
        <v>57</v>
      </c>
      <c r="V19" s="168" t="s">
        <v>137</v>
      </c>
      <c r="W19" t="s">
        <v>50</v>
      </c>
      <c r="X19">
        <v>4</v>
      </c>
      <c r="Y19" t="s">
        <v>50</v>
      </c>
      <c r="Z19">
        <v>3</v>
      </c>
      <c r="AB19" t="s">
        <v>50</v>
      </c>
    </row>
    <row r="20" spans="1:28" x14ac:dyDescent="0.25">
      <c r="A20" s="167">
        <v>60</v>
      </c>
      <c r="B20" s="167" t="s">
        <v>182</v>
      </c>
      <c r="C20" s="167">
        <v>35</v>
      </c>
      <c r="D20" s="167" t="s">
        <v>167</v>
      </c>
      <c r="E20" s="167">
        <v>6314649663</v>
      </c>
      <c r="F20" s="167" t="s">
        <v>168</v>
      </c>
      <c r="G20" s="167">
        <v>13136019890</v>
      </c>
      <c r="H20" s="167">
        <v>8</v>
      </c>
      <c r="I20" s="167">
        <v>2</v>
      </c>
      <c r="J20" s="167" t="s">
        <v>169</v>
      </c>
      <c r="K20" s="167" t="s">
        <v>68</v>
      </c>
      <c r="L20" s="167" t="s">
        <v>69</v>
      </c>
      <c r="M20" s="167">
        <v>48091</v>
      </c>
      <c r="N20" s="167"/>
      <c r="O20" s="167" t="s">
        <v>167</v>
      </c>
      <c r="P20" s="167" t="s">
        <v>170</v>
      </c>
      <c r="Q20" s="167">
        <v>16314649663</v>
      </c>
      <c r="R20" s="167"/>
      <c r="S20" s="167"/>
      <c r="T20" s="168" t="s">
        <v>46</v>
      </c>
      <c r="U20" s="167" t="s">
        <v>95</v>
      </c>
      <c r="V20" s="168" t="s">
        <v>137</v>
      </c>
      <c r="W20" t="s">
        <v>50</v>
      </c>
      <c r="X20">
        <v>7</v>
      </c>
      <c r="Y20" t="s">
        <v>50</v>
      </c>
      <c r="Z20">
        <v>9</v>
      </c>
      <c r="AB20" t="s">
        <v>50</v>
      </c>
    </row>
  </sheetData>
  <pageMargins left="0.25" right="0.25" top="0.5" bottom="0.25" header="0.25" footer="0.25"/>
  <pageSetup scale="89" orientation="landscape" horizontalDpi="0"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D2236C-B549-4766-AFE3-9B2F6F9BA9F7}">
  <sheetPr codeName="Sheet2"/>
  <dimension ref="A1:AG24"/>
  <sheetViews>
    <sheetView zoomScaleNormal="100" workbookViewId="0">
      <selection activeCell="N22" sqref="N22"/>
    </sheetView>
  </sheetViews>
  <sheetFormatPr defaultColWidth="3.140625" defaultRowHeight="18" customHeight="1" x14ac:dyDescent="0.25"/>
  <cols>
    <col min="1" max="1" width="18.7109375" style="9" bestFit="1" customWidth="1"/>
    <col min="2" max="2" width="4" style="9" bestFit="1" customWidth="1"/>
    <col min="3" max="3" width="3.140625" style="9"/>
    <col min="4" max="4" width="18.28515625" style="9" bestFit="1" customWidth="1"/>
    <col min="5" max="5" width="11.42578125" style="9" bestFit="1" customWidth="1"/>
    <col min="6" max="6" width="3.140625" style="9"/>
    <col min="7" max="7" width="12.5703125" style="9" bestFit="1" customWidth="1"/>
    <col min="8" max="8" width="11.42578125" style="9" bestFit="1" customWidth="1"/>
    <col min="9" max="9" width="3.140625" style="9"/>
    <col min="10" max="10" width="11.28515625" style="9" bestFit="1" customWidth="1"/>
    <col min="11" max="11" width="15.140625" style="9" bestFit="1" customWidth="1"/>
    <col min="12" max="12" width="4" style="9" bestFit="1" customWidth="1"/>
    <col min="13" max="13" width="5.85546875" style="9" bestFit="1" customWidth="1"/>
    <col min="14" max="14" width="6" style="9" bestFit="1" customWidth="1"/>
    <col min="15" max="15" width="4" style="9" bestFit="1" customWidth="1"/>
    <col min="16" max="16" width="9" style="9" bestFit="1" customWidth="1"/>
    <col min="17" max="18" width="11.28515625" style="9" bestFit="1" customWidth="1"/>
    <col min="19" max="19" width="6.85546875" style="9" bestFit="1" customWidth="1"/>
    <col min="20" max="20" width="4.85546875" style="9" bestFit="1" customWidth="1"/>
    <col min="21" max="21" width="3" style="9" bestFit="1" customWidth="1"/>
    <col min="22" max="22" width="7.85546875" style="9" bestFit="1" customWidth="1"/>
    <col min="23" max="23" width="5" style="9" bestFit="1" customWidth="1"/>
    <col min="24" max="24" width="3" style="9" bestFit="1" customWidth="1"/>
    <col min="25" max="25" width="8" style="9" bestFit="1" customWidth="1"/>
    <col min="26" max="26" width="4.7109375" style="9" bestFit="1" customWidth="1"/>
    <col min="27" max="27" width="3" style="9" bestFit="1" customWidth="1"/>
    <col min="28" max="28" width="7.7109375" style="9" bestFit="1" customWidth="1"/>
    <col min="29" max="29" width="9.140625" style="9" bestFit="1" customWidth="1"/>
    <col min="30" max="30" width="3" style="9" bestFit="1" customWidth="1"/>
    <col min="31" max="31" width="12.140625" style="9" bestFit="1" customWidth="1"/>
    <col min="32" max="32" width="11.28515625" style="9" bestFit="1" customWidth="1"/>
    <col min="33" max="33" width="6.85546875" style="9" customWidth="1"/>
    <col min="34" max="34" width="6.28515625" style="9" customWidth="1"/>
    <col min="35" max="16384" width="3.140625" style="9"/>
  </cols>
  <sheetData>
    <row r="1" spans="1:33" ht="18" customHeight="1" x14ac:dyDescent="0.25">
      <c r="A1" s="151" t="s">
        <v>183</v>
      </c>
      <c r="B1" s="152">
        <f>COUNTIFS(studentdata[Evening 2025 Enrolled],"Yes",studentdata[Weekend 2025 Enrolled],"")</f>
        <v>19</v>
      </c>
      <c r="D1" s="282" t="s">
        <v>41</v>
      </c>
      <c r="E1" s="282" t="s">
        <v>50</v>
      </c>
      <c r="I1" s="153"/>
      <c r="K1" s="142"/>
      <c r="L1" s="142"/>
      <c r="M1" s="142"/>
    </row>
    <row r="2" spans="1:33" ht="15" customHeight="1" x14ac:dyDescent="0.25">
      <c r="A2" s="151" t="s">
        <v>184</v>
      </c>
      <c r="B2" s="152">
        <f>COUNTIFS(studentdata[Evening 2025 Enrolled],"Yes")</f>
        <v>36</v>
      </c>
      <c r="D2" s="283" t="s">
        <v>12</v>
      </c>
      <c r="E2" s="282" t="s">
        <v>50</v>
      </c>
    </row>
    <row r="3" spans="1:33" ht="15" customHeight="1" x14ac:dyDescent="0.25">
      <c r="A3" s="154" t="s">
        <v>185</v>
      </c>
      <c r="B3" s="155">
        <f>COUNTIFS(studentdata[Evening 2025 Enrolled],"Yes",studentdata[Weekend 2025 Enrolled],"Yes")</f>
        <v>17</v>
      </c>
      <c r="D3"/>
      <c r="E3"/>
      <c r="G3" s="282" t="s">
        <v>186</v>
      </c>
      <c r="H3" s="282" t="s">
        <v>187</v>
      </c>
      <c r="J3" s="284" t="s">
        <v>187</v>
      </c>
      <c r="K3" s="283" t="s">
        <v>188</v>
      </c>
      <c r="L3" s="282"/>
      <c r="M3" s="284"/>
      <c r="N3" s="284"/>
      <c r="O3" s="284"/>
      <c r="P3" s="284"/>
      <c r="Q3" s="284"/>
      <c r="R3"/>
      <c r="S3"/>
      <c r="T3"/>
      <c r="U3"/>
      <c r="V3"/>
      <c r="W3"/>
      <c r="X3"/>
      <c r="Y3"/>
      <c r="Z3"/>
      <c r="AA3"/>
      <c r="AB3"/>
      <c r="AC3"/>
      <c r="AD3"/>
      <c r="AE3"/>
      <c r="AF3"/>
      <c r="AG3"/>
    </row>
    <row r="4" spans="1:33" ht="32.25" customHeight="1" x14ac:dyDescent="0.25">
      <c r="A4" s="156" t="s">
        <v>189</v>
      </c>
      <c r="B4" s="157">
        <f>COUNTIFS(studentdata[Evening 2025 Enrolled],"",studentdata[Weekend 2025 Enrolled],"Yes")</f>
        <v>180</v>
      </c>
      <c r="D4" s="284" t="s">
        <v>186</v>
      </c>
      <c r="E4" s="282" t="s">
        <v>187</v>
      </c>
      <c r="G4" s="282" t="s">
        <v>190</v>
      </c>
      <c r="H4" s="285">
        <v>7</v>
      </c>
      <c r="J4" s="284"/>
      <c r="K4" s="287" t="s">
        <v>49</v>
      </c>
      <c r="L4" s="286"/>
      <c r="M4" s="287" t="s">
        <v>191</v>
      </c>
      <c r="N4" s="287" t="s">
        <v>50</v>
      </c>
      <c r="O4" s="286"/>
      <c r="P4" s="287" t="s">
        <v>192</v>
      </c>
      <c r="Q4" s="287" t="s">
        <v>193</v>
      </c>
      <c r="R4"/>
      <c r="S4"/>
      <c r="T4"/>
      <c r="U4"/>
      <c r="V4"/>
      <c r="W4"/>
      <c r="X4"/>
      <c r="Y4"/>
      <c r="Z4"/>
      <c r="AA4"/>
      <c r="AB4"/>
      <c r="AC4"/>
      <c r="AD4"/>
      <c r="AE4"/>
      <c r="AF4"/>
      <c r="AG4"/>
    </row>
    <row r="5" spans="1:33" ht="15" customHeight="1" x14ac:dyDescent="0.25">
      <c r="A5" s="156" t="s">
        <v>194</v>
      </c>
      <c r="B5" s="157">
        <f>COUNTIFS(studentdata[Weekend 2025 Enrolled],"Yes")</f>
        <v>197</v>
      </c>
      <c r="D5" s="282" t="s">
        <v>56</v>
      </c>
      <c r="E5" s="285">
        <v>105</v>
      </c>
      <c r="G5" s="282" t="s">
        <v>195</v>
      </c>
      <c r="H5" s="285">
        <v>4</v>
      </c>
      <c r="J5" s="284" t="s">
        <v>186</v>
      </c>
      <c r="K5" s="288" t="s">
        <v>50</v>
      </c>
      <c r="L5" s="288"/>
      <c r="M5" s="286"/>
      <c r="N5" s="288" t="s">
        <v>50</v>
      </c>
      <c r="O5" s="288"/>
      <c r="P5" s="286"/>
      <c r="Q5" s="286"/>
      <c r="R5"/>
      <c r="S5"/>
      <c r="T5"/>
      <c r="U5"/>
      <c r="V5"/>
      <c r="W5"/>
      <c r="X5"/>
      <c r="Y5"/>
      <c r="Z5"/>
      <c r="AA5"/>
      <c r="AB5"/>
      <c r="AC5"/>
      <c r="AD5"/>
      <c r="AE5"/>
      <c r="AF5"/>
      <c r="AG5"/>
    </row>
    <row r="6" spans="1:33" ht="18" customHeight="1" x14ac:dyDescent="0.25">
      <c r="A6" s="158" t="s">
        <v>196</v>
      </c>
      <c r="B6" s="159">
        <f>COUNTIFS(studentdata[Session Enrollment],"Yes")</f>
        <v>216</v>
      </c>
      <c r="D6" s="282">
        <v>2</v>
      </c>
      <c r="E6" s="285">
        <v>15</v>
      </c>
      <c r="G6" s="282" t="s">
        <v>197</v>
      </c>
      <c r="H6" s="285">
        <v>1</v>
      </c>
      <c r="J6" s="282" t="s">
        <v>56</v>
      </c>
      <c r="K6" s="285">
        <v>7</v>
      </c>
      <c r="L6" s="285">
        <v>66</v>
      </c>
      <c r="M6" s="285">
        <v>73</v>
      </c>
      <c r="N6" s="285">
        <v>7</v>
      </c>
      <c r="O6" s="285">
        <v>98</v>
      </c>
      <c r="P6" s="285">
        <v>105</v>
      </c>
      <c r="Q6" s="285">
        <v>178</v>
      </c>
      <c r="R6"/>
      <c r="S6"/>
      <c r="T6"/>
      <c r="U6"/>
      <c r="V6"/>
      <c r="W6"/>
      <c r="X6"/>
      <c r="Y6"/>
      <c r="Z6"/>
      <c r="AA6"/>
      <c r="AB6"/>
      <c r="AC6"/>
      <c r="AD6"/>
      <c r="AE6"/>
      <c r="AF6"/>
      <c r="AG6"/>
    </row>
    <row r="7" spans="1:33" ht="18" customHeight="1" x14ac:dyDescent="0.25">
      <c r="D7" s="282">
        <v>3</v>
      </c>
      <c r="E7" s="285">
        <v>17</v>
      </c>
      <c r="G7" s="282" t="s">
        <v>57</v>
      </c>
      <c r="H7" s="285">
        <v>38</v>
      </c>
      <c r="J7" s="282">
        <v>2</v>
      </c>
      <c r="K7" s="285"/>
      <c r="L7" s="285">
        <v>3</v>
      </c>
      <c r="M7" s="285">
        <v>3</v>
      </c>
      <c r="N7" s="285">
        <v>1</v>
      </c>
      <c r="O7" s="285">
        <v>14</v>
      </c>
      <c r="P7" s="285">
        <v>15</v>
      </c>
      <c r="Q7" s="285">
        <v>18</v>
      </c>
      <c r="R7"/>
      <c r="S7"/>
      <c r="T7"/>
      <c r="U7"/>
      <c r="V7"/>
      <c r="W7"/>
      <c r="X7"/>
      <c r="Y7"/>
      <c r="Z7"/>
      <c r="AA7"/>
      <c r="AB7"/>
      <c r="AC7"/>
      <c r="AD7"/>
      <c r="AE7"/>
      <c r="AF7"/>
      <c r="AG7"/>
    </row>
    <row r="8" spans="1:33" ht="18" customHeight="1" x14ac:dyDescent="0.25">
      <c r="B8" s="9">
        <f>B5-B4</f>
        <v>17</v>
      </c>
      <c r="D8" s="282">
        <v>4</v>
      </c>
      <c r="E8" s="285">
        <v>18</v>
      </c>
      <c r="G8" s="282" t="s">
        <v>95</v>
      </c>
      <c r="H8" s="285">
        <v>49</v>
      </c>
      <c r="J8" s="282">
        <v>3</v>
      </c>
      <c r="K8" s="285"/>
      <c r="L8" s="285">
        <v>5</v>
      </c>
      <c r="M8" s="285">
        <v>5</v>
      </c>
      <c r="N8" s="285">
        <v>1</v>
      </c>
      <c r="O8" s="285">
        <v>16</v>
      </c>
      <c r="P8" s="285">
        <v>17</v>
      </c>
      <c r="Q8" s="285">
        <v>22</v>
      </c>
      <c r="R8"/>
      <c r="S8"/>
      <c r="T8"/>
      <c r="U8"/>
      <c r="V8"/>
      <c r="W8"/>
      <c r="X8"/>
      <c r="Y8"/>
      <c r="Z8"/>
      <c r="AA8"/>
      <c r="AB8"/>
      <c r="AC8"/>
      <c r="AD8"/>
      <c r="AE8"/>
      <c r="AF8"/>
      <c r="AG8"/>
    </row>
    <row r="9" spans="1:33" ht="18" customHeight="1" x14ac:dyDescent="0.25">
      <c r="D9" s="282" t="s">
        <v>48</v>
      </c>
      <c r="E9" s="285">
        <v>23</v>
      </c>
      <c r="G9" s="282" t="s">
        <v>80</v>
      </c>
      <c r="H9" s="285">
        <v>34</v>
      </c>
      <c r="J9" s="282">
        <v>4</v>
      </c>
      <c r="K9" s="285"/>
      <c r="L9" s="285">
        <v>2</v>
      </c>
      <c r="M9" s="285">
        <v>2</v>
      </c>
      <c r="N9" s="285"/>
      <c r="O9" s="285">
        <v>18</v>
      </c>
      <c r="P9" s="285">
        <v>18</v>
      </c>
      <c r="Q9" s="285">
        <v>20</v>
      </c>
      <c r="R9"/>
      <c r="S9"/>
      <c r="T9"/>
      <c r="U9"/>
      <c r="V9"/>
      <c r="W9"/>
      <c r="X9"/>
      <c r="Y9"/>
      <c r="Z9"/>
      <c r="AA9"/>
      <c r="AB9"/>
      <c r="AC9"/>
      <c r="AD9"/>
      <c r="AE9"/>
      <c r="AF9"/>
      <c r="AG9"/>
    </row>
    <row r="10" spans="1:33" ht="18" customHeight="1" x14ac:dyDescent="0.25">
      <c r="D10" s="282" t="s">
        <v>137</v>
      </c>
      <c r="E10" s="285">
        <v>15</v>
      </c>
      <c r="G10" s="282" t="s">
        <v>52</v>
      </c>
      <c r="H10" s="285">
        <v>30</v>
      </c>
      <c r="J10" s="282" t="s">
        <v>48</v>
      </c>
      <c r="K10" s="285">
        <v>1</v>
      </c>
      <c r="L10" s="285">
        <v>1</v>
      </c>
      <c r="M10" s="285">
        <v>2</v>
      </c>
      <c r="N10" s="285">
        <v>1</v>
      </c>
      <c r="O10" s="285">
        <v>22</v>
      </c>
      <c r="P10" s="285">
        <v>23</v>
      </c>
      <c r="Q10" s="285">
        <v>25</v>
      </c>
      <c r="R10"/>
      <c r="S10"/>
      <c r="T10"/>
      <c r="U10"/>
      <c r="V10"/>
      <c r="W10"/>
      <c r="X10"/>
      <c r="Y10"/>
      <c r="Z10"/>
      <c r="AA10"/>
      <c r="AB10"/>
      <c r="AC10"/>
      <c r="AD10"/>
      <c r="AE10"/>
      <c r="AF10"/>
      <c r="AG10"/>
    </row>
    <row r="11" spans="1:33" ht="18" customHeight="1" x14ac:dyDescent="0.25">
      <c r="D11" s="282" t="s">
        <v>142</v>
      </c>
      <c r="E11" s="285">
        <v>17</v>
      </c>
      <c r="G11" s="282" t="s">
        <v>85</v>
      </c>
      <c r="H11" s="285">
        <v>24</v>
      </c>
      <c r="J11" s="282" t="s">
        <v>137</v>
      </c>
      <c r="K11" s="285"/>
      <c r="L11" s="285"/>
      <c r="M11" s="285"/>
      <c r="N11" s="285">
        <v>1</v>
      </c>
      <c r="O11" s="285">
        <v>14</v>
      </c>
      <c r="P11" s="285">
        <v>15</v>
      </c>
      <c r="Q11" s="285">
        <v>15</v>
      </c>
      <c r="R11"/>
      <c r="S11"/>
      <c r="T11"/>
      <c r="U11"/>
      <c r="V11"/>
      <c r="W11"/>
      <c r="X11"/>
      <c r="Y11"/>
      <c r="Z11"/>
      <c r="AA11"/>
      <c r="AB11"/>
      <c r="AC11"/>
      <c r="AD11"/>
      <c r="AE11"/>
      <c r="AF11"/>
      <c r="AG11"/>
    </row>
    <row r="12" spans="1:33" ht="18" customHeight="1" x14ac:dyDescent="0.25">
      <c r="D12" s="282" t="s">
        <v>46</v>
      </c>
      <c r="E12" s="285">
        <v>92</v>
      </c>
      <c r="G12" s="282" t="s">
        <v>156</v>
      </c>
      <c r="H12" s="285">
        <v>21</v>
      </c>
      <c r="J12" s="282" t="s">
        <v>142</v>
      </c>
      <c r="K12" s="285"/>
      <c r="L12" s="285">
        <v>1</v>
      </c>
      <c r="M12" s="285">
        <v>1</v>
      </c>
      <c r="N12" s="285">
        <v>3</v>
      </c>
      <c r="O12" s="285">
        <v>14</v>
      </c>
      <c r="P12" s="285">
        <v>17</v>
      </c>
      <c r="Q12" s="285">
        <v>18</v>
      </c>
      <c r="R12"/>
      <c r="S12"/>
      <c r="T12"/>
      <c r="U12"/>
      <c r="V12"/>
      <c r="W12"/>
      <c r="X12"/>
      <c r="Y12"/>
      <c r="Z12"/>
      <c r="AA12"/>
      <c r="AB12"/>
      <c r="AC12"/>
      <c r="AD12"/>
      <c r="AE12"/>
      <c r="AF12"/>
      <c r="AG12"/>
    </row>
    <row r="13" spans="1:33" ht="18" customHeight="1" x14ac:dyDescent="0.25">
      <c r="D13" s="282">
        <v>2</v>
      </c>
      <c r="E13" s="285">
        <v>17</v>
      </c>
      <c r="G13" s="282" t="s">
        <v>61</v>
      </c>
      <c r="H13" s="285">
        <v>16</v>
      </c>
      <c r="J13" s="282" t="s">
        <v>198</v>
      </c>
      <c r="K13" s="285">
        <v>6</v>
      </c>
      <c r="L13" s="285">
        <v>54</v>
      </c>
      <c r="M13" s="285">
        <v>60</v>
      </c>
      <c r="N13" s="285"/>
      <c r="O13" s="285"/>
      <c r="P13" s="285"/>
      <c r="Q13" s="285">
        <v>60</v>
      </c>
      <c r="R13"/>
      <c r="S13"/>
      <c r="T13"/>
      <c r="U13"/>
      <c r="V13"/>
      <c r="W13"/>
      <c r="X13"/>
      <c r="Y13"/>
      <c r="Z13"/>
      <c r="AA13"/>
      <c r="AB13"/>
      <c r="AC13"/>
      <c r="AD13"/>
      <c r="AE13"/>
      <c r="AF13"/>
      <c r="AG13"/>
    </row>
    <row r="14" spans="1:33" ht="18" customHeight="1" x14ac:dyDescent="0.25">
      <c r="D14" s="282">
        <v>3</v>
      </c>
      <c r="E14" s="285">
        <v>15</v>
      </c>
      <c r="G14" s="282" t="s">
        <v>109</v>
      </c>
      <c r="H14" s="285">
        <v>26</v>
      </c>
      <c r="J14" s="282" t="s">
        <v>46</v>
      </c>
      <c r="K14" s="285">
        <v>12</v>
      </c>
      <c r="L14" s="285">
        <v>78</v>
      </c>
      <c r="M14" s="285">
        <v>90</v>
      </c>
      <c r="N14" s="285">
        <v>10</v>
      </c>
      <c r="O14" s="285">
        <v>82</v>
      </c>
      <c r="P14" s="285">
        <v>92</v>
      </c>
      <c r="Q14" s="285">
        <v>182</v>
      </c>
      <c r="R14"/>
      <c r="S14"/>
      <c r="T14"/>
      <c r="U14"/>
      <c r="V14"/>
      <c r="W14"/>
      <c r="X14"/>
      <c r="Y14"/>
      <c r="Z14"/>
      <c r="AA14"/>
      <c r="AB14"/>
      <c r="AC14"/>
      <c r="AD14"/>
      <c r="AE14"/>
      <c r="AF14"/>
      <c r="AG14"/>
    </row>
    <row r="15" spans="1:33" ht="18" customHeight="1" x14ac:dyDescent="0.25">
      <c r="D15" s="282">
        <v>4</v>
      </c>
      <c r="E15" s="285">
        <v>16</v>
      </c>
      <c r="G15" s="282" t="s">
        <v>199</v>
      </c>
      <c r="H15" s="285">
        <v>13</v>
      </c>
      <c r="J15" s="282">
        <v>2</v>
      </c>
      <c r="K15" s="285"/>
      <c r="L15" s="285">
        <v>1</v>
      </c>
      <c r="M15" s="285">
        <v>1</v>
      </c>
      <c r="N15" s="285">
        <v>2</v>
      </c>
      <c r="O15" s="285">
        <v>15</v>
      </c>
      <c r="P15" s="285">
        <v>17</v>
      </c>
      <c r="Q15" s="285">
        <v>18</v>
      </c>
      <c r="R15"/>
      <c r="S15"/>
      <c r="T15"/>
      <c r="U15"/>
      <c r="V15"/>
      <c r="W15"/>
      <c r="X15"/>
      <c r="Y15"/>
      <c r="Z15"/>
      <c r="AA15"/>
      <c r="AB15"/>
      <c r="AC15"/>
      <c r="AD15"/>
      <c r="AE15"/>
      <c r="AF15"/>
      <c r="AG15"/>
    </row>
    <row r="16" spans="1:33" ht="18" customHeight="1" x14ac:dyDescent="0.25">
      <c r="D16" s="282" t="s">
        <v>48</v>
      </c>
      <c r="E16" s="285">
        <v>16</v>
      </c>
      <c r="G16" s="282" t="s">
        <v>171</v>
      </c>
      <c r="H16" s="285">
        <v>35</v>
      </c>
      <c r="J16" s="282">
        <v>3</v>
      </c>
      <c r="K16" s="285">
        <v>1</v>
      </c>
      <c r="L16" s="285">
        <v>1</v>
      </c>
      <c r="M16" s="285">
        <v>2</v>
      </c>
      <c r="N16" s="285"/>
      <c r="O16" s="285">
        <v>15</v>
      </c>
      <c r="P16" s="285">
        <v>15</v>
      </c>
      <c r="Q16" s="285">
        <v>17</v>
      </c>
      <c r="R16"/>
      <c r="S16"/>
      <c r="T16"/>
      <c r="U16"/>
      <c r="V16"/>
      <c r="W16"/>
      <c r="X16"/>
      <c r="Y16"/>
      <c r="Z16"/>
      <c r="AA16"/>
      <c r="AB16"/>
      <c r="AC16"/>
      <c r="AD16"/>
      <c r="AE16"/>
      <c r="AF16"/>
      <c r="AG16"/>
    </row>
    <row r="17" spans="4:33" ht="18" customHeight="1" x14ac:dyDescent="0.25">
      <c r="D17" s="282" t="s">
        <v>137</v>
      </c>
      <c r="E17" s="285">
        <v>15</v>
      </c>
      <c r="G17" s="282" t="s">
        <v>47</v>
      </c>
      <c r="H17" s="285">
        <v>4</v>
      </c>
      <c r="J17" s="282">
        <v>4</v>
      </c>
      <c r="K17" s="285"/>
      <c r="L17" s="285">
        <v>3</v>
      </c>
      <c r="M17" s="285">
        <v>3</v>
      </c>
      <c r="N17" s="285">
        <v>3</v>
      </c>
      <c r="O17" s="285">
        <v>13</v>
      </c>
      <c r="P17" s="285">
        <v>16</v>
      </c>
      <c r="Q17" s="285">
        <v>19</v>
      </c>
      <c r="R17"/>
      <c r="S17"/>
      <c r="T17"/>
      <c r="U17"/>
      <c r="V17"/>
      <c r="W17"/>
      <c r="X17"/>
      <c r="Y17"/>
      <c r="Z17"/>
      <c r="AA17"/>
      <c r="AB17"/>
      <c r="AC17"/>
      <c r="AD17"/>
      <c r="AE17"/>
      <c r="AF17"/>
      <c r="AG17"/>
    </row>
    <row r="18" spans="4:33" ht="18" customHeight="1" x14ac:dyDescent="0.25">
      <c r="D18" s="282" t="s">
        <v>142</v>
      </c>
      <c r="E18" s="285">
        <v>13</v>
      </c>
      <c r="G18" s="282" t="s">
        <v>198</v>
      </c>
      <c r="H18" s="285">
        <v>59</v>
      </c>
      <c r="J18" s="282" t="s">
        <v>48</v>
      </c>
      <c r="K18" s="285">
        <v>2</v>
      </c>
      <c r="L18" s="285">
        <v>3</v>
      </c>
      <c r="M18" s="285">
        <v>5</v>
      </c>
      <c r="N18" s="285">
        <v>3</v>
      </c>
      <c r="O18" s="285">
        <v>13</v>
      </c>
      <c r="P18" s="285">
        <v>16</v>
      </c>
      <c r="Q18" s="285">
        <v>21</v>
      </c>
      <c r="R18"/>
      <c r="S18"/>
      <c r="T18"/>
      <c r="U18"/>
      <c r="V18"/>
      <c r="W18"/>
      <c r="X18"/>
      <c r="Y18"/>
      <c r="Z18"/>
      <c r="AA18"/>
      <c r="AB18"/>
      <c r="AC18"/>
      <c r="AD18"/>
      <c r="AE18"/>
      <c r="AF18"/>
      <c r="AG18"/>
    </row>
    <row r="19" spans="4:33" ht="18" customHeight="1" x14ac:dyDescent="0.25">
      <c r="D19" s="282" t="s">
        <v>193</v>
      </c>
      <c r="E19" s="285">
        <v>197</v>
      </c>
      <c r="G19" s="282" t="s">
        <v>193</v>
      </c>
      <c r="H19" s="285">
        <v>361</v>
      </c>
      <c r="J19" s="282" t="s">
        <v>137</v>
      </c>
      <c r="K19" s="285">
        <v>1</v>
      </c>
      <c r="L19" s="285"/>
      <c r="M19" s="285">
        <v>1</v>
      </c>
      <c r="N19" s="285">
        <v>2</v>
      </c>
      <c r="O19" s="285">
        <v>13</v>
      </c>
      <c r="P19" s="285">
        <v>15</v>
      </c>
      <c r="Q19" s="285">
        <v>16</v>
      </c>
      <c r="R19"/>
      <c r="S19"/>
      <c r="T19"/>
      <c r="U19"/>
      <c r="V19"/>
      <c r="W19"/>
      <c r="X19"/>
      <c r="Y19"/>
      <c r="Z19"/>
      <c r="AA19"/>
      <c r="AB19"/>
      <c r="AC19"/>
      <c r="AD19"/>
      <c r="AE19"/>
      <c r="AF19"/>
      <c r="AG19"/>
    </row>
    <row r="20" spans="4:33" ht="18" customHeight="1" x14ac:dyDescent="0.25">
      <c r="D20"/>
      <c r="E20"/>
      <c r="G20"/>
      <c r="H20"/>
      <c r="J20" s="282" t="s">
        <v>142</v>
      </c>
      <c r="K20" s="285"/>
      <c r="L20" s="285">
        <v>2</v>
      </c>
      <c r="M20" s="285">
        <v>2</v>
      </c>
      <c r="N20" s="285"/>
      <c r="O20" s="285">
        <v>13</v>
      </c>
      <c r="P20" s="285">
        <v>13</v>
      </c>
      <c r="Q20" s="285">
        <v>15</v>
      </c>
      <c r="R20"/>
      <c r="S20"/>
      <c r="T20"/>
      <c r="U20"/>
      <c r="V20"/>
      <c r="W20"/>
      <c r="X20"/>
      <c r="Y20"/>
      <c r="Z20"/>
      <c r="AA20"/>
      <c r="AB20"/>
      <c r="AC20"/>
      <c r="AD20"/>
      <c r="AE20"/>
      <c r="AF20"/>
      <c r="AG20"/>
    </row>
    <row r="21" spans="4:33" ht="18" customHeight="1" x14ac:dyDescent="0.25">
      <c r="D21"/>
      <c r="E21"/>
      <c r="J21" s="282" t="s">
        <v>198</v>
      </c>
      <c r="K21" s="285">
        <v>8</v>
      </c>
      <c r="L21" s="285">
        <v>68</v>
      </c>
      <c r="M21" s="285">
        <v>76</v>
      </c>
      <c r="N21" s="285"/>
      <c r="O21" s="285"/>
      <c r="P21" s="285"/>
      <c r="Q21" s="285">
        <v>76</v>
      </c>
      <c r="R21"/>
      <c r="S21"/>
      <c r="T21"/>
      <c r="U21"/>
      <c r="V21"/>
      <c r="W21"/>
      <c r="X21"/>
      <c r="Y21"/>
      <c r="Z21"/>
      <c r="AA21"/>
      <c r="AB21"/>
      <c r="AC21"/>
      <c r="AD21"/>
      <c r="AE21"/>
      <c r="AF21"/>
      <c r="AG21"/>
    </row>
    <row r="22" spans="4:33" ht="18" customHeight="1" x14ac:dyDescent="0.25">
      <c r="J22" s="282" t="s">
        <v>193</v>
      </c>
      <c r="K22" s="285">
        <v>19</v>
      </c>
      <c r="L22" s="285">
        <v>144</v>
      </c>
      <c r="M22" s="285">
        <v>163</v>
      </c>
      <c r="N22" s="285">
        <v>17</v>
      </c>
      <c r="O22" s="285">
        <v>180</v>
      </c>
      <c r="P22" s="285">
        <v>197</v>
      </c>
      <c r="Q22" s="285">
        <v>360</v>
      </c>
      <c r="R22"/>
      <c r="S22"/>
      <c r="T22"/>
      <c r="U22"/>
      <c r="V22"/>
      <c r="W22"/>
      <c r="X22"/>
      <c r="Y22"/>
      <c r="Z22"/>
      <c r="AA22"/>
      <c r="AB22"/>
      <c r="AC22"/>
      <c r="AD22"/>
      <c r="AE22"/>
      <c r="AF22"/>
      <c r="AG22"/>
    </row>
    <row r="23" spans="4:33" ht="18" customHeight="1" x14ac:dyDescent="0.25">
      <c r="E23" s="142"/>
    </row>
    <row r="24" spans="4:33" ht="18" customHeight="1" x14ac:dyDescent="0.25">
      <c r="F24" s="142"/>
      <c r="G24" s="142"/>
      <c r="H24" s="142"/>
      <c r="I24" s="142"/>
    </row>
  </sheetData>
  <mergeCells count="5">
    <mergeCell ref="K4:L4"/>
    <mergeCell ref="M4:M5"/>
    <mergeCell ref="N4:O4"/>
    <mergeCell ref="P4:P5"/>
    <mergeCell ref="Q4:Q5"/>
  </mergeCells>
  <pageMargins left="0.7" right="0.7" top="0.75" bottom="0.75" header="0.3" footer="0.3"/>
  <pageSetup orientation="portrait" horizontalDpi="0" verticalDpi="0"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04F57-2262-44AF-A8A8-6EC13B78A699}">
  <sheetPr codeName="Sheet1">
    <pageSetUpPr fitToPage="1"/>
  </sheetPr>
  <dimension ref="A1:AG362"/>
  <sheetViews>
    <sheetView topLeftCell="M1" zoomScale="70" zoomScaleNormal="70" workbookViewId="0">
      <selection activeCell="X22" sqref="X22"/>
    </sheetView>
  </sheetViews>
  <sheetFormatPr defaultColWidth="14.85546875" defaultRowHeight="15.75" x14ac:dyDescent="0.25"/>
  <cols>
    <col min="1" max="1" width="13.7109375" style="80" hidden="1" customWidth="1"/>
    <col min="2" max="2" width="11.85546875" style="67" hidden="1" customWidth="1"/>
    <col min="3" max="3" width="6.7109375" style="80" hidden="1" customWidth="1"/>
    <col min="4" max="4" width="35.28515625" style="67" hidden="1" customWidth="1"/>
    <col min="5" max="5" width="15.85546875" style="67" hidden="1" customWidth="1"/>
    <col min="6" max="6" width="6.140625" style="67" hidden="1" customWidth="1"/>
    <col min="7" max="7" width="6.7109375" style="67" hidden="1" customWidth="1"/>
    <col min="8" max="8" width="32.42578125" style="67" hidden="1" customWidth="1"/>
    <col min="9" max="9" width="27.140625" style="80" hidden="1" customWidth="1"/>
    <col min="10" max="10" width="12.5703125" style="80" hidden="1" customWidth="1"/>
    <col min="11" max="12" width="14.85546875" style="67" hidden="1" customWidth="1"/>
    <col min="13" max="13" width="6.140625" style="67" bestFit="1" customWidth="1"/>
    <col min="14" max="14" width="33.140625" style="67" bestFit="1" customWidth="1"/>
    <col min="15" max="15" width="6.140625" style="67" bestFit="1" customWidth="1"/>
    <col min="16" max="16" width="33.140625" style="67" bestFit="1" customWidth="1"/>
    <col min="17" max="17" width="13.7109375" style="67" bestFit="1" customWidth="1"/>
    <col min="18" max="18" width="27.5703125" style="67" bestFit="1" customWidth="1"/>
    <col min="19" max="19" width="14.85546875" style="67" bestFit="1" customWidth="1"/>
    <col min="20" max="20" width="6.140625" style="67" bestFit="1" customWidth="1"/>
    <col min="21" max="21" width="12.85546875" style="67" bestFit="1" customWidth="1"/>
    <col min="22" max="25" width="6.140625" style="67" bestFit="1" customWidth="1"/>
    <col min="26" max="27" width="8.42578125" style="67" bestFit="1" customWidth="1"/>
    <col min="28" max="28" width="6.140625" style="67" bestFit="1" customWidth="1"/>
    <col min="29" max="30" width="14.85546875" style="67"/>
    <col min="31" max="31" width="17.85546875" style="67" bestFit="1" customWidth="1"/>
    <col min="32" max="32" width="15.28515625" style="67" bestFit="1" customWidth="1"/>
    <col min="33" max="16384" width="14.85546875" style="67"/>
  </cols>
  <sheetData>
    <row r="1" spans="1:28" s="189" customFormat="1" ht="178.5" x14ac:dyDescent="0.25">
      <c r="A1" s="187" t="s">
        <v>23</v>
      </c>
      <c r="B1" s="187" t="s">
        <v>24</v>
      </c>
      <c r="C1" s="187" t="s">
        <v>25</v>
      </c>
      <c r="D1" s="187" t="s">
        <v>26</v>
      </c>
      <c r="E1" s="187" t="s">
        <v>27</v>
      </c>
      <c r="F1" s="187" t="s">
        <v>28</v>
      </c>
      <c r="G1" s="187" t="s">
        <v>29</v>
      </c>
      <c r="H1" s="187" t="s">
        <v>30</v>
      </c>
      <c r="I1" s="187" t="s">
        <v>31</v>
      </c>
      <c r="J1" s="187" t="s">
        <v>32</v>
      </c>
      <c r="K1" s="187" t="s">
        <v>33</v>
      </c>
      <c r="L1" s="187" t="s">
        <v>34</v>
      </c>
      <c r="M1" s="187" t="s">
        <v>16</v>
      </c>
      <c r="N1" s="187" t="s">
        <v>17</v>
      </c>
      <c r="O1" s="187" t="s">
        <v>18</v>
      </c>
      <c r="P1" s="187" t="s">
        <v>19</v>
      </c>
      <c r="Q1" s="187" t="s">
        <v>20</v>
      </c>
      <c r="R1" s="187" t="s">
        <v>21</v>
      </c>
      <c r="S1" s="187" t="s">
        <v>22</v>
      </c>
      <c r="T1" s="187" t="s">
        <v>35</v>
      </c>
      <c r="U1" s="187" t="s">
        <v>36</v>
      </c>
      <c r="V1" s="187" t="s">
        <v>37</v>
      </c>
      <c r="W1" s="187" t="s">
        <v>12</v>
      </c>
      <c r="X1" s="187" t="s">
        <v>13</v>
      </c>
      <c r="Y1" s="187" t="s">
        <v>38</v>
      </c>
      <c r="Z1" s="188" t="s">
        <v>39</v>
      </c>
      <c r="AA1" s="188" t="s">
        <v>40</v>
      </c>
      <c r="AB1" s="187" t="s">
        <v>41</v>
      </c>
    </row>
    <row r="2" spans="1:28" ht="15" x14ac:dyDescent="0.25">
      <c r="B2" s="67">
        <v>1</v>
      </c>
      <c r="C2" s="67" t="s">
        <v>73</v>
      </c>
      <c r="D2" s="67" t="s">
        <v>68</v>
      </c>
      <c r="E2" s="67" t="s">
        <v>69</v>
      </c>
      <c r="F2" s="67">
        <v>48091</v>
      </c>
      <c r="H2" s="67" t="s">
        <v>74</v>
      </c>
      <c r="I2" s="67" t="s">
        <v>75</v>
      </c>
      <c r="J2" s="67"/>
      <c r="K2" s="67">
        <v>13136031250</v>
      </c>
      <c r="M2" s="80">
        <v>1</v>
      </c>
      <c r="N2" s="67" t="s">
        <v>70</v>
      </c>
      <c r="O2" s="80">
        <v>1</v>
      </c>
      <c r="P2" s="67" t="s">
        <v>71</v>
      </c>
      <c r="Q2" s="67">
        <v>12484796254</v>
      </c>
      <c r="R2" s="67" t="s">
        <v>72</v>
      </c>
      <c r="T2" s="80" t="s">
        <v>56</v>
      </c>
      <c r="U2" s="80"/>
      <c r="V2" s="177"/>
      <c r="W2" s="80" t="str">
        <f>IF(OR(studentdata[[#This Row],[Weekend 2025]]&lt;&gt;""),"Yes","")</f>
        <v/>
      </c>
      <c r="X2" s="80"/>
      <c r="Y2" s="80" t="str">
        <f>IF(OR(studentdata[[#This Row],[Evening 2025]]&lt;&gt;""),"Yes","")</f>
        <v>Yes</v>
      </c>
      <c r="Z2" s="80">
        <v>6</v>
      </c>
      <c r="AA2" s="80"/>
      <c r="AB2" s="80" t="str">
        <f>IF(OR(studentdata[[#This Row],[Weekend 2025 Enrolled]]="Yes",studentdata[[#This Row],[Evening 2025 Enrolled]]="Yes"),"Yes","")</f>
        <v>Yes</v>
      </c>
    </row>
    <row r="3" spans="1:28" ht="15" x14ac:dyDescent="0.25">
      <c r="C3" s="67" t="s">
        <v>73</v>
      </c>
      <c r="D3" s="67" t="s">
        <v>68</v>
      </c>
      <c r="E3" s="67" t="s">
        <v>69</v>
      </c>
      <c r="F3" s="67">
        <v>48091</v>
      </c>
      <c r="H3" s="67" t="s">
        <v>74</v>
      </c>
      <c r="I3" s="67" t="s">
        <v>75</v>
      </c>
      <c r="J3" s="67"/>
      <c r="K3" s="67">
        <v>13136031250</v>
      </c>
      <c r="M3" s="80">
        <v>2</v>
      </c>
      <c r="N3" s="67" t="s">
        <v>86</v>
      </c>
      <c r="O3" s="80">
        <v>1</v>
      </c>
      <c r="P3" s="67" t="s">
        <v>71</v>
      </c>
      <c r="Q3" s="67">
        <v>12484796254</v>
      </c>
      <c r="R3" s="67" t="s">
        <v>72</v>
      </c>
      <c r="T3" s="80" t="s">
        <v>46</v>
      </c>
      <c r="U3" s="80"/>
      <c r="V3" s="177"/>
      <c r="W3" s="80" t="str">
        <f>IF(OR(studentdata[[#This Row],[Weekend 2025]]&lt;&gt;""),"Yes","")</f>
        <v/>
      </c>
      <c r="X3" s="80"/>
      <c r="Y3" s="80" t="str">
        <f>IF(OR(studentdata[[#This Row],[Evening 2025]]&lt;&gt;""),"Yes","")</f>
        <v>Yes</v>
      </c>
      <c r="Z3" s="80">
        <v>19</v>
      </c>
      <c r="AA3" s="80"/>
      <c r="AB3" s="80" t="str">
        <f>IF(OR(studentdata[[#This Row],[Weekend 2025 Enrolled]]="Yes",studentdata[[#This Row],[Evening 2025 Enrolled]]="Yes"),"Yes","")</f>
        <v>Yes</v>
      </c>
    </row>
    <row r="4" spans="1:28" x14ac:dyDescent="0.25">
      <c r="A4" s="80">
        <v>10</v>
      </c>
      <c r="B4" s="67" t="s">
        <v>162</v>
      </c>
      <c r="C4" s="67" t="s">
        <v>560</v>
      </c>
      <c r="D4" s="67" t="s">
        <v>68</v>
      </c>
      <c r="E4" s="67" t="s">
        <v>69</v>
      </c>
      <c r="F4" s="67">
        <v>48093</v>
      </c>
      <c r="G4" s="67" t="s">
        <v>561</v>
      </c>
      <c r="I4" s="67"/>
      <c r="J4" s="67">
        <v>18622875350</v>
      </c>
      <c r="K4" s="67">
        <v>18622878900</v>
      </c>
      <c r="M4" s="80">
        <v>3</v>
      </c>
      <c r="N4" s="67" t="s">
        <v>562</v>
      </c>
      <c r="O4" s="80">
        <v>2</v>
      </c>
      <c r="P4" s="67" t="s">
        <v>563</v>
      </c>
      <c r="Q4" s="67">
        <v>18623373593</v>
      </c>
      <c r="R4" s="67" t="s">
        <v>564</v>
      </c>
      <c r="S4" s="67">
        <v>18622620684</v>
      </c>
      <c r="T4" s="80" t="s">
        <v>46</v>
      </c>
      <c r="U4" s="80" t="s">
        <v>85</v>
      </c>
      <c r="V4" s="177">
        <v>3</v>
      </c>
      <c r="W4" s="80" t="str">
        <f>IF(OR(studentdata[[#This Row],[Weekend 2025]]&lt;&gt;""),"Yes","")</f>
        <v>Yes</v>
      </c>
      <c r="X4" s="80">
        <v>7</v>
      </c>
      <c r="Y4" s="80" t="str">
        <f>IF(OR(studentdata[[#This Row],[Evening 2025]]&lt;&gt;""),"Yes","")</f>
        <v/>
      </c>
      <c r="Z4" s="80"/>
      <c r="AA4" s="80"/>
      <c r="AB4" s="80" t="str">
        <f>IF(OR(studentdata[[#This Row],[Weekend 2025 Enrolled]]="Yes",studentdata[[#This Row],[Evening 2025 Enrolled]]="Yes"),"Yes","")</f>
        <v>Yes</v>
      </c>
    </row>
    <row r="5" spans="1:28" x14ac:dyDescent="0.25">
      <c r="A5" s="80">
        <v>8</v>
      </c>
      <c r="B5" s="67" t="s">
        <v>239</v>
      </c>
      <c r="C5" s="67" t="s">
        <v>240</v>
      </c>
      <c r="D5" s="67" t="s">
        <v>68</v>
      </c>
      <c r="E5" s="67" t="s">
        <v>69</v>
      </c>
      <c r="F5" s="67">
        <v>0</v>
      </c>
      <c r="I5" s="67"/>
      <c r="J5" s="67"/>
      <c r="M5" s="80">
        <v>4</v>
      </c>
      <c r="N5" s="67" t="s">
        <v>241</v>
      </c>
      <c r="O5" s="80">
        <v>3</v>
      </c>
      <c r="P5" s="67" t="s">
        <v>242</v>
      </c>
      <c r="Q5" s="67">
        <v>19734137387</v>
      </c>
      <c r="R5" s="67" t="s">
        <v>243</v>
      </c>
      <c r="T5" s="80" t="s">
        <v>56</v>
      </c>
      <c r="U5" s="80" t="s">
        <v>80</v>
      </c>
      <c r="V5" s="177">
        <v>2</v>
      </c>
      <c r="W5" s="80" t="str">
        <f>IF(OR(studentdata[[#This Row],[Weekend 2025]]&lt;&gt;""),"Yes","")</f>
        <v>Yes</v>
      </c>
      <c r="X5" s="80">
        <v>11</v>
      </c>
      <c r="Y5" s="80" t="str">
        <f>IF(OR(studentdata[[#This Row],[Evening 2025]]&lt;&gt;""),"Yes","")</f>
        <v/>
      </c>
      <c r="Z5" s="80"/>
      <c r="AA5" s="80"/>
      <c r="AB5" s="80" t="str">
        <f>IF(OR(studentdata[[#This Row],[Weekend 2025 Enrolled]]="Yes",studentdata[[#This Row],[Evening 2025 Enrolled]]="Yes"),"Yes","")</f>
        <v>Yes</v>
      </c>
    </row>
    <row r="6" spans="1:28" x14ac:dyDescent="0.25">
      <c r="A6" s="80">
        <v>5</v>
      </c>
      <c r="B6" s="67" t="s">
        <v>45</v>
      </c>
      <c r="C6" s="67" t="s">
        <v>240</v>
      </c>
      <c r="D6" s="67" t="s">
        <v>68</v>
      </c>
      <c r="E6" s="67" t="s">
        <v>69</v>
      </c>
      <c r="F6" s="67">
        <v>0</v>
      </c>
      <c r="I6" s="67"/>
      <c r="J6" s="67"/>
      <c r="M6" s="80">
        <v>5</v>
      </c>
      <c r="N6" s="67" t="s">
        <v>619</v>
      </c>
      <c r="O6" s="80">
        <v>3</v>
      </c>
      <c r="P6" s="67" t="s">
        <v>242</v>
      </c>
      <c r="Q6" s="67">
        <v>19734137387</v>
      </c>
      <c r="R6" s="67" t="s">
        <v>243</v>
      </c>
      <c r="T6" s="80" t="s">
        <v>46</v>
      </c>
      <c r="U6" s="80" t="s">
        <v>171</v>
      </c>
      <c r="V6" s="177" t="s">
        <v>48</v>
      </c>
      <c r="W6" s="80" t="str">
        <f>IF(OR(studentdata[[#This Row],[Weekend 2025]]&lt;&gt;""),"Yes","")</f>
        <v>Yes</v>
      </c>
      <c r="X6" s="80">
        <v>2</v>
      </c>
      <c r="Y6" s="80" t="str">
        <f>IF(OR(studentdata[[#This Row],[Evening 2025]]&lt;&gt;""),"Yes","")</f>
        <v/>
      </c>
      <c r="Z6" s="80"/>
      <c r="AA6" s="80"/>
      <c r="AB6" s="80" t="str">
        <f>IF(OR(studentdata[[#This Row],[Weekend 2025 Enrolled]]="Yes",studentdata[[#This Row],[Evening 2025 Enrolled]]="Yes"),"Yes","")</f>
        <v>Yes</v>
      </c>
    </row>
    <row r="7" spans="1:28" x14ac:dyDescent="0.25">
      <c r="A7" s="80">
        <v>10</v>
      </c>
      <c r="C7" s="67" t="s">
        <v>736</v>
      </c>
      <c r="D7" s="67" t="s">
        <v>93</v>
      </c>
      <c r="E7" s="67" t="s">
        <v>69</v>
      </c>
      <c r="F7" s="67">
        <v>48310</v>
      </c>
      <c r="I7" s="67"/>
      <c r="J7" s="67"/>
      <c r="M7" s="80">
        <v>6</v>
      </c>
      <c r="N7" s="67" t="s">
        <v>737</v>
      </c>
      <c r="O7" s="80">
        <v>4</v>
      </c>
      <c r="P7" s="67" t="s">
        <v>738</v>
      </c>
      <c r="Q7" s="67">
        <v>13134158774</v>
      </c>
      <c r="R7" s="67" t="s">
        <v>739</v>
      </c>
      <c r="T7" s="80" t="s">
        <v>56</v>
      </c>
      <c r="U7" s="80" t="s">
        <v>52</v>
      </c>
      <c r="V7" s="177"/>
      <c r="W7" s="80" t="str">
        <f>IF(OR(studentdata[[#This Row],[Weekend 2025]]&lt;&gt;""),"Yes","")</f>
        <v/>
      </c>
      <c r="X7" s="80"/>
      <c r="Y7" s="80" t="str">
        <f>IF(OR(studentdata[[#This Row],[Evening 2025]]&lt;&gt;""),"Yes","")</f>
        <v/>
      </c>
      <c r="Z7" s="80"/>
      <c r="AA7" s="80"/>
      <c r="AB7" s="80" t="str">
        <f>IF(OR(studentdata[[#This Row],[Weekend 2025 Enrolled]]="Yes",studentdata[[#This Row],[Evening 2025 Enrolled]]="Yes"),"Yes","")</f>
        <v/>
      </c>
    </row>
    <row r="8" spans="1:28" x14ac:dyDescent="0.25">
      <c r="A8" s="80">
        <v>7</v>
      </c>
      <c r="C8" s="67" t="s">
        <v>740</v>
      </c>
      <c r="D8" s="67" t="s">
        <v>68</v>
      </c>
      <c r="E8" s="67" t="s">
        <v>69</v>
      </c>
      <c r="F8" s="67">
        <v>48089</v>
      </c>
      <c r="I8" s="67"/>
      <c r="J8" s="67"/>
      <c r="M8" s="80">
        <v>7</v>
      </c>
      <c r="N8" s="67" t="s">
        <v>930</v>
      </c>
      <c r="O8" s="80">
        <v>5</v>
      </c>
      <c r="P8" s="67" t="s">
        <v>742</v>
      </c>
      <c r="Q8" s="67">
        <v>13133981349</v>
      </c>
      <c r="R8" s="67" t="s">
        <v>743</v>
      </c>
      <c r="T8" s="80" t="s">
        <v>46</v>
      </c>
      <c r="U8" s="80" t="s">
        <v>57</v>
      </c>
      <c r="V8" s="177"/>
      <c r="W8" s="80" t="str">
        <f>IF(OR(studentdata[[#This Row],[Weekend 2025]]&lt;&gt;""),"Yes","")</f>
        <v/>
      </c>
      <c r="X8" s="80"/>
      <c r="Y8" s="80" t="str">
        <f>IF(OR(studentdata[[#This Row],[Evening 2025]]&lt;&gt;""),"Yes","")</f>
        <v/>
      </c>
      <c r="Z8" s="80"/>
      <c r="AA8" s="80"/>
      <c r="AB8" s="80" t="str">
        <f>IF(OR(studentdata[[#This Row],[Weekend 2025 Enrolled]]="Yes",studentdata[[#This Row],[Evening 2025 Enrolled]]="Yes"),"Yes","")</f>
        <v/>
      </c>
    </row>
    <row r="9" spans="1:28" x14ac:dyDescent="0.25">
      <c r="A9" s="80">
        <v>12</v>
      </c>
      <c r="C9" s="67" t="s">
        <v>740</v>
      </c>
      <c r="D9" s="67" t="s">
        <v>68</v>
      </c>
      <c r="E9" s="67" t="s">
        <v>69</v>
      </c>
      <c r="F9" s="67">
        <v>48089</v>
      </c>
      <c r="I9" s="67"/>
      <c r="J9" s="67"/>
      <c r="M9" s="80">
        <v>8</v>
      </c>
      <c r="N9" s="67" t="s">
        <v>741</v>
      </c>
      <c r="O9" s="80">
        <v>5</v>
      </c>
      <c r="P9" s="67" t="s">
        <v>742</v>
      </c>
      <c r="Q9" s="67">
        <v>13133981349</v>
      </c>
      <c r="R9" s="67" t="s">
        <v>743</v>
      </c>
      <c r="T9" s="80" t="s">
        <v>56</v>
      </c>
      <c r="U9" s="80" t="s">
        <v>156</v>
      </c>
      <c r="V9" s="177"/>
      <c r="W9" s="80" t="str">
        <f>IF(OR(studentdata[[#This Row],[Weekend 2025]]&lt;&gt;""),"Yes","")</f>
        <v/>
      </c>
      <c r="X9" s="80"/>
      <c r="Y9" s="80" t="str">
        <f>IF(OR(studentdata[[#This Row],[Evening 2025]]&lt;&gt;""),"Yes","")</f>
        <v/>
      </c>
      <c r="Z9" s="80"/>
      <c r="AA9" s="80"/>
      <c r="AB9" s="80" t="str">
        <f>IF(OR(studentdata[[#This Row],[Weekend 2025 Enrolled]]="Yes",studentdata[[#This Row],[Evening 2025 Enrolled]]="Yes"),"Yes","")</f>
        <v/>
      </c>
    </row>
    <row r="10" spans="1:28" x14ac:dyDescent="0.25">
      <c r="A10" s="80">
        <v>8</v>
      </c>
      <c r="C10" s="67" t="s">
        <v>931</v>
      </c>
      <c r="D10" s="67" t="s">
        <v>68</v>
      </c>
      <c r="E10" s="67" t="s">
        <v>69</v>
      </c>
      <c r="F10" s="67">
        <v>0</v>
      </c>
      <c r="I10" s="67"/>
      <c r="J10" s="67"/>
      <c r="M10" s="80">
        <v>9</v>
      </c>
      <c r="N10" s="67" t="s">
        <v>932</v>
      </c>
      <c r="O10" s="80">
        <v>6</v>
      </c>
      <c r="P10" s="67" t="s">
        <v>933</v>
      </c>
      <c r="Q10" s="67">
        <v>13134551630</v>
      </c>
      <c r="R10" s="67" t="s">
        <v>934</v>
      </c>
      <c r="S10" s="67">
        <v>13133670566</v>
      </c>
      <c r="T10" s="80" t="s">
        <v>46</v>
      </c>
      <c r="U10" s="80" t="s">
        <v>95</v>
      </c>
      <c r="V10" s="177"/>
      <c r="W10" s="80" t="str">
        <f>IF(OR(studentdata[[#This Row],[Weekend 2025]]&lt;&gt;""),"Yes","")</f>
        <v/>
      </c>
      <c r="X10" s="80"/>
      <c r="Y10" s="80" t="str">
        <f>IF(OR(studentdata[[#This Row],[Evening 2025]]&lt;&gt;""),"Yes","")</f>
        <v/>
      </c>
      <c r="Z10" s="80"/>
      <c r="AA10" s="80"/>
      <c r="AB10" s="80" t="str">
        <f>IF(OR(studentdata[[#This Row],[Weekend 2025 Enrolled]]="Yes",studentdata[[#This Row],[Evening 2025 Enrolled]]="Yes"),"Yes","")</f>
        <v/>
      </c>
    </row>
    <row r="11" spans="1:28" x14ac:dyDescent="0.25">
      <c r="A11" s="80">
        <v>10</v>
      </c>
      <c r="C11" s="67" t="s">
        <v>366</v>
      </c>
      <c r="D11" s="67" t="s">
        <v>68</v>
      </c>
      <c r="E11" s="67" t="s">
        <v>69</v>
      </c>
      <c r="F11" s="67">
        <v>48091</v>
      </c>
      <c r="G11" s="67" t="s">
        <v>367</v>
      </c>
      <c r="I11" s="67"/>
      <c r="J11" s="67"/>
      <c r="M11" s="80">
        <v>10</v>
      </c>
      <c r="N11" s="67" t="s">
        <v>368</v>
      </c>
      <c r="O11" s="80">
        <v>7</v>
      </c>
      <c r="P11" s="67" t="s">
        <v>369</v>
      </c>
      <c r="Q11" s="67">
        <v>12484347251</v>
      </c>
      <c r="R11" s="67" t="s">
        <v>370</v>
      </c>
      <c r="S11" s="67">
        <v>15864386185</v>
      </c>
      <c r="T11" s="80" t="s">
        <v>56</v>
      </c>
      <c r="U11" s="80" t="s">
        <v>52</v>
      </c>
      <c r="V11" s="177">
        <v>4</v>
      </c>
      <c r="W11" s="80" t="str">
        <f>IF(OR(studentdata[[#This Row],[Weekend 2025]]&lt;&gt;""),"Yes","")</f>
        <v>Yes</v>
      </c>
      <c r="X11" s="80">
        <v>16</v>
      </c>
      <c r="Y11" s="80" t="str">
        <f>IF(OR(studentdata[[#This Row],[Evening 2025]]&lt;&gt;""),"Yes","")</f>
        <v/>
      </c>
      <c r="Z11" s="80"/>
      <c r="AA11" s="80"/>
      <c r="AB11" s="80" t="str">
        <f>IF(OR(studentdata[[#This Row],[Weekend 2025 Enrolled]]="Yes",studentdata[[#This Row],[Evening 2025 Enrolled]]="Yes"),"Yes","")</f>
        <v>Yes</v>
      </c>
    </row>
    <row r="12" spans="1:28" x14ac:dyDescent="0.25">
      <c r="C12" s="67" t="s">
        <v>366</v>
      </c>
      <c r="D12" s="67" t="s">
        <v>68</v>
      </c>
      <c r="E12" s="67" t="s">
        <v>69</v>
      </c>
      <c r="F12" s="67">
        <v>48091</v>
      </c>
      <c r="G12" s="67" t="s">
        <v>367</v>
      </c>
      <c r="I12" s="67"/>
      <c r="J12" s="67"/>
      <c r="M12" s="80">
        <v>11</v>
      </c>
      <c r="N12" s="67" t="s">
        <v>485</v>
      </c>
      <c r="O12" s="80">
        <v>7</v>
      </c>
      <c r="P12" s="67" t="s">
        <v>369</v>
      </c>
      <c r="Q12" s="67">
        <v>12484347251</v>
      </c>
      <c r="R12" s="67" t="s">
        <v>370</v>
      </c>
      <c r="S12" s="67">
        <v>15864386185</v>
      </c>
      <c r="T12" s="80" t="s">
        <v>56</v>
      </c>
      <c r="U12" s="80"/>
      <c r="V12" s="177" t="s">
        <v>142</v>
      </c>
      <c r="W12" s="80" t="str">
        <f>IF(OR(studentdata[[#This Row],[Weekend 2025]]&lt;&gt;""),"Yes","")</f>
        <v>Yes</v>
      </c>
      <c r="X12" s="80">
        <v>10</v>
      </c>
      <c r="Y12" s="80" t="str">
        <f>IF(OR(studentdata[[#This Row],[Evening 2025]]&lt;&gt;""),"Yes","")</f>
        <v/>
      </c>
      <c r="Z12" s="80"/>
      <c r="AA12" s="80"/>
      <c r="AB12" s="80" t="str">
        <f>IF(OR(studentdata[[#This Row],[Weekend 2025 Enrolled]]="Yes",studentdata[[#This Row],[Evening 2025 Enrolled]]="Yes"),"Yes","")</f>
        <v>Yes</v>
      </c>
    </row>
    <row r="13" spans="1:28" x14ac:dyDescent="0.25">
      <c r="A13" s="80">
        <v>8</v>
      </c>
      <c r="C13" s="67" t="s">
        <v>200</v>
      </c>
      <c r="D13" s="67" t="s">
        <v>68</v>
      </c>
      <c r="E13" s="67" t="s">
        <v>69</v>
      </c>
      <c r="F13" s="67">
        <v>48091</v>
      </c>
      <c r="I13" s="67"/>
      <c r="J13" s="67"/>
      <c r="M13" s="80">
        <v>12</v>
      </c>
      <c r="N13" s="67" t="s">
        <v>201</v>
      </c>
      <c r="O13" s="80">
        <v>8</v>
      </c>
      <c r="P13" s="67" t="s">
        <v>202</v>
      </c>
      <c r="Q13" s="67">
        <v>13137440046</v>
      </c>
      <c r="T13" s="80" t="s">
        <v>56</v>
      </c>
      <c r="U13" s="80" t="s">
        <v>52</v>
      </c>
      <c r="V13" s="177">
        <v>2</v>
      </c>
      <c r="W13" s="80" t="str">
        <f>IF(OR(studentdata[[#This Row],[Weekend 2025]]&lt;&gt;""),"Yes","")</f>
        <v>Yes</v>
      </c>
      <c r="X13" s="80">
        <v>1</v>
      </c>
      <c r="Y13" s="80" t="str">
        <f>IF(OR(studentdata[[#This Row],[Evening 2025]]&lt;&gt;""),"Yes","")</f>
        <v/>
      </c>
      <c r="Z13" s="80"/>
      <c r="AA13" s="80"/>
      <c r="AB13" s="80" t="str">
        <f>IF(OR(studentdata[[#This Row],[Weekend 2025 Enrolled]]="Yes",studentdata[[#This Row],[Evening 2025 Enrolled]]="Yes"),"Yes","")</f>
        <v>Yes</v>
      </c>
    </row>
    <row r="14" spans="1:28" x14ac:dyDescent="0.25">
      <c r="A14" s="80">
        <v>11</v>
      </c>
      <c r="B14" s="67" t="s">
        <v>162</v>
      </c>
      <c r="C14" s="67" t="s">
        <v>200</v>
      </c>
      <c r="D14" s="67" t="s">
        <v>68</v>
      </c>
      <c r="E14" s="67" t="s">
        <v>69</v>
      </c>
      <c r="F14" s="67">
        <v>48091</v>
      </c>
      <c r="I14" s="67"/>
      <c r="J14" s="67"/>
      <c r="M14" s="80">
        <v>13</v>
      </c>
      <c r="N14" s="67" t="s">
        <v>578</v>
      </c>
      <c r="O14" s="80">
        <v>8</v>
      </c>
      <c r="P14" s="67" t="s">
        <v>202</v>
      </c>
      <c r="Q14" s="67">
        <v>13137440046</v>
      </c>
      <c r="T14" s="80" t="s">
        <v>46</v>
      </c>
      <c r="U14" s="80" t="s">
        <v>156</v>
      </c>
      <c r="V14" s="177">
        <v>3</v>
      </c>
      <c r="W14" s="80" t="str">
        <f>IF(OR(studentdata[[#This Row],[Weekend 2025]]&lt;&gt;""),"Yes","")</f>
        <v>Yes</v>
      </c>
      <c r="X14" s="80">
        <v>11</v>
      </c>
      <c r="Y14" s="80" t="str">
        <f>IF(OR(studentdata[[#This Row],[Evening 2025]]&lt;&gt;""),"Yes","")</f>
        <v/>
      </c>
      <c r="Z14" s="80"/>
      <c r="AA14" s="80"/>
      <c r="AB14" s="80" t="str">
        <f>IF(OR(studentdata[[#This Row],[Weekend 2025 Enrolled]]="Yes",studentdata[[#This Row],[Evening 2025 Enrolled]]="Yes"),"Yes","")</f>
        <v>Yes</v>
      </c>
    </row>
    <row r="15" spans="1:28" x14ac:dyDescent="0.25">
      <c r="A15" s="80">
        <v>5</v>
      </c>
      <c r="B15" s="67" t="s">
        <v>45</v>
      </c>
      <c r="C15" s="67" t="s">
        <v>200</v>
      </c>
      <c r="D15" s="67" t="s">
        <v>68</v>
      </c>
      <c r="E15" s="67" t="s">
        <v>69</v>
      </c>
      <c r="F15" s="67">
        <v>48091</v>
      </c>
      <c r="I15" s="67"/>
      <c r="J15" s="67"/>
      <c r="M15" s="80">
        <v>14</v>
      </c>
      <c r="N15" s="67" t="s">
        <v>640</v>
      </c>
      <c r="O15" s="80">
        <v>8</v>
      </c>
      <c r="P15" s="67" t="s">
        <v>202</v>
      </c>
      <c r="Q15" s="67">
        <v>13137440046</v>
      </c>
      <c r="T15" s="80" t="s">
        <v>46</v>
      </c>
      <c r="U15" s="80" t="s">
        <v>57</v>
      </c>
      <c r="V15" s="177" t="s">
        <v>137</v>
      </c>
      <c r="W15" s="80" t="str">
        <f>IF(OR(studentdata[[#This Row],[Weekend 2025]]&lt;&gt;""),"Yes","")</f>
        <v>Yes</v>
      </c>
      <c r="X15" s="80">
        <v>1</v>
      </c>
      <c r="Y15" s="80" t="str">
        <f>IF(OR(studentdata[[#This Row],[Evening 2025]]&lt;&gt;""),"Yes","")</f>
        <v/>
      </c>
      <c r="Z15" s="80"/>
      <c r="AA15" s="80"/>
      <c r="AB15" s="80" t="str">
        <f>IF(OR(studentdata[[#This Row],[Weekend 2025 Enrolled]]="Yes",studentdata[[#This Row],[Evening 2025 Enrolled]]="Yes"),"Yes","")</f>
        <v>Yes</v>
      </c>
    </row>
    <row r="16" spans="1:28" x14ac:dyDescent="0.25">
      <c r="A16" s="80">
        <v>14</v>
      </c>
      <c r="C16" s="67" t="s">
        <v>322</v>
      </c>
      <c r="D16" s="67" t="s">
        <v>68</v>
      </c>
      <c r="E16" s="67" t="s">
        <v>69</v>
      </c>
      <c r="F16" s="67">
        <v>48092</v>
      </c>
      <c r="I16" s="67"/>
      <c r="J16" s="67"/>
      <c r="M16" s="80">
        <v>15</v>
      </c>
      <c r="N16" s="67" t="s">
        <v>588</v>
      </c>
      <c r="O16" s="80">
        <v>9</v>
      </c>
      <c r="P16" s="67" t="s">
        <v>324</v>
      </c>
      <c r="Q16" s="67">
        <v>13136852777</v>
      </c>
      <c r="R16" s="67" t="s">
        <v>325</v>
      </c>
      <c r="S16" s="67">
        <v>15863036851</v>
      </c>
      <c r="T16" s="80" t="s">
        <v>46</v>
      </c>
      <c r="U16" s="80" t="s">
        <v>199</v>
      </c>
      <c r="V16" s="177">
        <v>4</v>
      </c>
      <c r="W16" s="80" t="str">
        <f>IF(OR(studentdata[[#This Row],[Weekend 2025]]&lt;&gt;""),"Yes","")</f>
        <v>Yes</v>
      </c>
      <c r="X16" s="80">
        <v>1</v>
      </c>
      <c r="Y16" s="80" t="str">
        <f>IF(OR(studentdata[[#This Row],[Evening 2025]]&lt;&gt;""),"Yes","")</f>
        <v/>
      </c>
      <c r="Z16" s="80"/>
      <c r="AA16" s="80"/>
      <c r="AB16" s="80" t="str">
        <f>IF(OR(studentdata[[#This Row],[Weekend 2025 Enrolled]]="Yes",studentdata[[#This Row],[Evening 2025 Enrolled]]="Yes"),"Yes","")</f>
        <v>Yes</v>
      </c>
    </row>
    <row r="17" spans="1:33" x14ac:dyDescent="0.25">
      <c r="A17" s="80">
        <v>5</v>
      </c>
      <c r="B17" s="67" t="s">
        <v>45</v>
      </c>
      <c r="C17" s="67" t="s">
        <v>322</v>
      </c>
      <c r="D17" s="67" t="s">
        <v>68</v>
      </c>
      <c r="E17" s="67" t="s">
        <v>69</v>
      </c>
      <c r="F17" s="67">
        <v>48092</v>
      </c>
      <c r="I17" s="67"/>
      <c r="J17" s="67"/>
      <c r="M17" s="80">
        <v>16</v>
      </c>
      <c r="N17" s="67" t="s">
        <v>920</v>
      </c>
      <c r="O17" s="80">
        <v>9</v>
      </c>
      <c r="P17" s="67" t="s">
        <v>324</v>
      </c>
      <c r="Q17" s="67">
        <v>13136852777</v>
      </c>
      <c r="R17" s="67" t="s">
        <v>325</v>
      </c>
      <c r="S17" s="67">
        <v>15863036851</v>
      </c>
      <c r="T17" s="80" t="s">
        <v>46</v>
      </c>
      <c r="U17" s="80" t="s">
        <v>171</v>
      </c>
      <c r="V17" s="177" t="s">
        <v>48</v>
      </c>
      <c r="W17" s="80" t="str">
        <f>IF(OR(studentdata[[#This Row],[Weekend 2025]]&lt;&gt;""),"Yes","")</f>
        <v/>
      </c>
      <c r="X17" s="80"/>
      <c r="Y17" s="80" t="str">
        <f>IF(OR(studentdata[[#This Row],[Evening 2025]]&lt;&gt;""),"Yes","")</f>
        <v/>
      </c>
      <c r="Z17" s="80"/>
      <c r="AA17" s="80"/>
      <c r="AB17" s="80" t="str">
        <f>IF(OR(studentdata[[#This Row],[Weekend 2025 Enrolled]]="Yes",studentdata[[#This Row],[Evening 2025 Enrolled]]="Yes"),"Yes","")</f>
        <v/>
      </c>
    </row>
    <row r="18" spans="1:33" x14ac:dyDescent="0.25">
      <c r="A18" s="80">
        <v>10</v>
      </c>
      <c r="C18" s="67" t="s">
        <v>322</v>
      </c>
      <c r="D18" s="67" t="s">
        <v>68</v>
      </c>
      <c r="E18" s="67" t="s">
        <v>69</v>
      </c>
      <c r="F18" s="67">
        <v>48092</v>
      </c>
      <c r="I18" s="67"/>
      <c r="J18" s="67"/>
      <c r="M18" s="80">
        <v>17</v>
      </c>
      <c r="N18" s="67" t="s">
        <v>323</v>
      </c>
      <c r="O18" s="80">
        <v>9</v>
      </c>
      <c r="P18" s="67" t="s">
        <v>324</v>
      </c>
      <c r="Q18" s="67">
        <v>13136852777</v>
      </c>
      <c r="R18" s="67" t="s">
        <v>325</v>
      </c>
      <c r="S18" s="67">
        <v>15863036851</v>
      </c>
      <c r="T18" s="80" t="s">
        <v>56</v>
      </c>
      <c r="U18" s="80" t="s">
        <v>85</v>
      </c>
      <c r="V18" s="177">
        <v>4</v>
      </c>
      <c r="W18" s="80" t="str">
        <f>IF(OR(studentdata[[#This Row],[Weekend 2025]]&lt;&gt;""),"Yes","")</f>
        <v>Yes</v>
      </c>
      <c r="X18" s="80">
        <v>1</v>
      </c>
      <c r="Y18" s="80" t="str">
        <f>IF(OR(studentdata[[#This Row],[Evening 2025]]&lt;&gt;""),"Yes","")</f>
        <v/>
      </c>
      <c r="Z18" s="80"/>
      <c r="AA18" s="80"/>
      <c r="AB18" s="80" t="str">
        <f>IF(OR(studentdata[[#This Row],[Weekend 2025 Enrolled]]="Yes",studentdata[[#This Row],[Evening 2025 Enrolled]]="Yes"),"Yes","")</f>
        <v>Yes</v>
      </c>
    </row>
    <row r="19" spans="1:33" x14ac:dyDescent="0.25">
      <c r="A19" s="80">
        <v>10</v>
      </c>
      <c r="C19" s="67" t="s">
        <v>452</v>
      </c>
      <c r="D19" s="67" t="s">
        <v>68</v>
      </c>
      <c r="E19" s="67" t="s">
        <v>69</v>
      </c>
      <c r="F19" s="67">
        <v>48091</v>
      </c>
      <c r="G19" s="67" t="s">
        <v>453</v>
      </c>
      <c r="I19" s="67"/>
      <c r="J19" s="67"/>
      <c r="M19" s="80">
        <v>18</v>
      </c>
      <c r="N19" s="67" t="s">
        <v>525</v>
      </c>
      <c r="O19" s="80">
        <v>10</v>
      </c>
      <c r="P19" s="67" t="s">
        <v>455</v>
      </c>
      <c r="Q19" s="67">
        <v>15863433823</v>
      </c>
      <c r="R19" s="67" t="s">
        <v>456</v>
      </c>
      <c r="S19" s="67">
        <v>15863933823</v>
      </c>
      <c r="T19" s="80" t="s">
        <v>46</v>
      </c>
      <c r="U19" s="80" t="s">
        <v>80</v>
      </c>
      <c r="V19" s="177">
        <v>2</v>
      </c>
      <c r="W19" s="80" t="str">
        <f>IF(OR(studentdata[[#This Row],[Weekend 2025]]&lt;&gt;""),"Yes","")</f>
        <v>Yes</v>
      </c>
      <c r="X19" s="80">
        <v>8</v>
      </c>
      <c r="Y19" s="80" t="str">
        <f>IF(OR(studentdata[[#This Row],[Evening 2025]]&lt;&gt;""),"Yes","")</f>
        <v/>
      </c>
      <c r="Z19" s="80"/>
      <c r="AA19" s="80"/>
      <c r="AB19" s="80" t="str">
        <f>IF(OR(studentdata[[#This Row],[Weekend 2025 Enrolled]]="Yes",studentdata[[#This Row],[Evening 2025 Enrolled]]="Yes"),"Yes","")</f>
        <v>Yes</v>
      </c>
    </row>
    <row r="20" spans="1:33" x14ac:dyDescent="0.25">
      <c r="A20" s="80">
        <v>7</v>
      </c>
      <c r="C20" s="67" t="s">
        <v>452</v>
      </c>
      <c r="D20" s="67" t="s">
        <v>68</v>
      </c>
      <c r="E20" s="67" t="s">
        <v>69</v>
      </c>
      <c r="F20" s="67">
        <v>48091</v>
      </c>
      <c r="G20" s="67" t="s">
        <v>453</v>
      </c>
      <c r="I20" s="67"/>
      <c r="J20" s="67"/>
      <c r="M20" s="80">
        <v>19</v>
      </c>
      <c r="N20" s="67" t="s">
        <v>454</v>
      </c>
      <c r="O20" s="80">
        <v>10</v>
      </c>
      <c r="P20" s="67" t="s">
        <v>455</v>
      </c>
      <c r="Q20" s="67">
        <v>15863433823</v>
      </c>
      <c r="R20" s="67" t="s">
        <v>456</v>
      </c>
      <c r="S20" s="67">
        <v>15863933823</v>
      </c>
      <c r="T20" s="80" t="s">
        <v>56</v>
      </c>
      <c r="U20" s="80" t="s">
        <v>171</v>
      </c>
      <c r="V20" s="177" t="s">
        <v>137</v>
      </c>
      <c r="W20" s="80" t="str">
        <f>IF(OR(studentdata[[#This Row],[Weekend 2025]]&lt;&gt;""),"Yes","")</f>
        <v>Yes</v>
      </c>
      <c r="X20" s="80">
        <v>10</v>
      </c>
      <c r="Y20" s="80" t="str">
        <f>IF(OR(studentdata[[#This Row],[Evening 2025]]&lt;&gt;""),"Yes","")</f>
        <v/>
      </c>
      <c r="Z20" s="80"/>
      <c r="AA20" s="80"/>
      <c r="AB20" s="80" t="str">
        <f>IF(OR(studentdata[[#This Row],[Weekend 2025 Enrolled]]="Yes",studentdata[[#This Row],[Evening 2025 Enrolled]]="Yes"),"Yes","")</f>
        <v>Yes</v>
      </c>
      <c r="AE20" s="197" t="s">
        <v>1345</v>
      </c>
      <c r="AF20" t="s">
        <v>187</v>
      </c>
      <c r="AG20"/>
    </row>
    <row r="21" spans="1:33" x14ac:dyDescent="0.25">
      <c r="A21" s="80">
        <v>11</v>
      </c>
      <c r="B21" s="67" t="s">
        <v>162</v>
      </c>
      <c r="C21" s="67" t="s">
        <v>163</v>
      </c>
      <c r="D21" s="67" t="s">
        <v>68</v>
      </c>
      <c r="E21" s="67" t="s">
        <v>69</v>
      </c>
      <c r="F21" s="67">
        <v>48091</v>
      </c>
      <c r="H21" s="67" t="s">
        <v>164</v>
      </c>
      <c r="I21" s="67" t="s">
        <v>165</v>
      </c>
      <c r="J21" s="67"/>
      <c r="K21" s="67">
        <v>15862247494</v>
      </c>
      <c r="M21" s="80">
        <v>20</v>
      </c>
      <c r="N21" s="67" t="s">
        <v>159</v>
      </c>
      <c r="O21" s="80">
        <v>11</v>
      </c>
      <c r="P21" s="67" t="s">
        <v>160</v>
      </c>
      <c r="Q21" s="67">
        <v>15862246316</v>
      </c>
      <c r="R21" s="67" t="s">
        <v>161</v>
      </c>
      <c r="T21" s="80" t="s">
        <v>46</v>
      </c>
      <c r="U21" s="80"/>
      <c r="V21" s="177">
        <v>4</v>
      </c>
      <c r="W21" s="80" t="str">
        <f>IF(OR(studentdata[[#This Row],[Weekend 2025]]&lt;&gt;""),"Yes","")</f>
        <v>Yes</v>
      </c>
      <c r="X21" s="80">
        <v>13</v>
      </c>
      <c r="Y21" s="80" t="str">
        <f>IF(OR(studentdata[[#This Row],[Evening 2025]]&lt;&gt;""),"Yes","")</f>
        <v>Yes</v>
      </c>
      <c r="Z21" s="80">
        <v>1</v>
      </c>
      <c r="AA21" s="80"/>
      <c r="AB21" s="80" t="str">
        <f>IF(OR(studentdata[[#This Row],[Weekend 2025 Enrolled]]="Yes",studentdata[[#This Row],[Evening 2025 Enrolled]]="Yes"),"Yes","")</f>
        <v>Yes</v>
      </c>
      <c r="AE21" s="196"/>
      <c r="AF21" s="281">
        <v>144</v>
      </c>
      <c r="AG21"/>
    </row>
    <row r="22" spans="1:33" x14ac:dyDescent="0.25">
      <c r="A22" s="80">
        <v>6</v>
      </c>
      <c r="C22" s="67" t="s">
        <v>921</v>
      </c>
      <c r="D22" s="67" t="s">
        <v>68</v>
      </c>
      <c r="E22" s="67" t="s">
        <v>69</v>
      </c>
      <c r="F22" s="67">
        <v>48089</v>
      </c>
      <c r="I22" s="67"/>
      <c r="J22" s="67"/>
      <c r="M22" s="80">
        <v>21</v>
      </c>
      <c r="N22" s="67" t="s">
        <v>922</v>
      </c>
      <c r="O22" s="80">
        <v>12</v>
      </c>
      <c r="P22" s="67" t="s">
        <v>923</v>
      </c>
      <c r="Q22" s="67">
        <v>13139857629</v>
      </c>
      <c r="R22" s="67" t="s">
        <v>924</v>
      </c>
      <c r="T22" s="80" t="s">
        <v>46</v>
      </c>
      <c r="U22" s="80" t="s">
        <v>171</v>
      </c>
      <c r="V22" s="177" t="s">
        <v>48</v>
      </c>
      <c r="W22" s="80" t="str">
        <f>IF(OR(studentdata[[#This Row],[Weekend 2025]]&lt;&gt;""),"Yes","")</f>
        <v/>
      </c>
      <c r="X22" s="80"/>
      <c r="Y22" s="80" t="str">
        <f>IF(OR(studentdata[[#This Row],[Evening 2025]]&lt;&gt;""),"Yes","")</f>
        <v/>
      </c>
      <c r="Z22" s="80"/>
      <c r="AA22" s="80"/>
      <c r="AB22" s="80" t="str">
        <f>IF(OR(studentdata[[#This Row],[Weekend 2025 Enrolled]]="Yes",studentdata[[#This Row],[Evening 2025 Enrolled]]="Yes"),"Yes","")</f>
        <v/>
      </c>
      <c r="AE22" s="196" t="s">
        <v>50</v>
      </c>
      <c r="AF22" s="281">
        <v>216</v>
      </c>
      <c r="AG22"/>
    </row>
    <row r="23" spans="1:33" x14ac:dyDescent="0.25">
      <c r="A23" s="80">
        <v>6</v>
      </c>
      <c r="C23" s="67" t="s">
        <v>744</v>
      </c>
      <c r="D23" s="67" t="s">
        <v>68</v>
      </c>
      <c r="E23" s="67" t="s">
        <v>69</v>
      </c>
      <c r="F23" s="67">
        <v>48089</v>
      </c>
      <c r="H23" s="67" t="s">
        <v>745</v>
      </c>
      <c r="I23" s="67" t="s">
        <v>595</v>
      </c>
      <c r="J23" s="67"/>
      <c r="K23" s="67">
        <v>13477536579</v>
      </c>
      <c r="M23" s="80">
        <v>22</v>
      </c>
      <c r="N23" s="67" t="s">
        <v>746</v>
      </c>
      <c r="O23" s="80">
        <v>13</v>
      </c>
      <c r="P23" s="67" t="s">
        <v>747</v>
      </c>
      <c r="Q23" s="67">
        <v>12138201848</v>
      </c>
      <c r="R23" s="67" t="s">
        <v>748</v>
      </c>
      <c r="T23" s="80" t="s">
        <v>56</v>
      </c>
      <c r="U23" s="80" t="s">
        <v>171</v>
      </c>
      <c r="V23" s="177"/>
      <c r="W23" s="80" t="str">
        <f>IF(OR(studentdata[[#This Row],[Weekend 2025]]&lt;&gt;""),"Yes","")</f>
        <v/>
      </c>
      <c r="X23" s="80"/>
      <c r="Y23" s="80" t="str">
        <f>IF(OR(studentdata[[#This Row],[Evening 2025]]&lt;&gt;""),"Yes","")</f>
        <v/>
      </c>
      <c r="Z23" s="80"/>
      <c r="AA23" s="80"/>
      <c r="AB23" s="80" t="str">
        <f>IF(OR(studentdata[[#This Row],[Weekend 2025 Enrolled]]="Yes",studentdata[[#This Row],[Evening 2025 Enrolled]]="Yes"),"Yes","")</f>
        <v/>
      </c>
      <c r="AE23" s="196" t="s">
        <v>198</v>
      </c>
      <c r="AF23" s="281">
        <v>1</v>
      </c>
      <c r="AG23"/>
    </row>
    <row r="24" spans="1:33" x14ac:dyDescent="0.25">
      <c r="A24" s="80">
        <v>8</v>
      </c>
      <c r="C24" s="67" t="s">
        <v>935</v>
      </c>
      <c r="D24" s="67" t="s">
        <v>68</v>
      </c>
      <c r="E24" s="67" t="s">
        <v>69</v>
      </c>
      <c r="F24" s="67">
        <v>48089</v>
      </c>
      <c r="H24" s="67" t="s">
        <v>936</v>
      </c>
      <c r="I24" s="67" t="s">
        <v>101</v>
      </c>
      <c r="J24" s="67"/>
      <c r="K24" s="67">
        <v>13479937949</v>
      </c>
      <c r="M24" s="80">
        <v>23</v>
      </c>
      <c r="N24" s="67" t="s">
        <v>937</v>
      </c>
      <c r="O24" s="80">
        <v>14</v>
      </c>
      <c r="P24" s="67" t="s">
        <v>745</v>
      </c>
      <c r="Q24" s="67">
        <v>13477536579</v>
      </c>
      <c r="R24" s="67" t="s">
        <v>938</v>
      </c>
      <c r="T24" s="80" t="s">
        <v>46</v>
      </c>
      <c r="U24" s="80" t="s">
        <v>95</v>
      </c>
      <c r="V24" s="177"/>
      <c r="W24" s="80" t="str">
        <f>IF(OR(studentdata[[#This Row],[Weekend 2025]]&lt;&gt;""),"Yes","")</f>
        <v/>
      </c>
      <c r="X24" s="80"/>
      <c r="Y24" s="80" t="str">
        <f>IF(OR(studentdata[[#This Row],[Evening 2025]]&lt;&gt;""),"Yes","")</f>
        <v/>
      </c>
      <c r="Z24" s="80"/>
      <c r="AA24" s="80"/>
      <c r="AB24" s="80" t="str">
        <f>IF(OR(studentdata[[#This Row],[Weekend 2025 Enrolled]]="Yes",studentdata[[#This Row],[Evening 2025 Enrolled]]="Yes"),"Yes","")</f>
        <v/>
      </c>
      <c r="AE24" s="196" t="s">
        <v>193</v>
      </c>
      <c r="AF24" s="281">
        <v>361</v>
      </c>
      <c r="AG24"/>
    </row>
    <row r="25" spans="1:33" x14ac:dyDescent="0.25">
      <c r="A25" s="80">
        <v>11</v>
      </c>
      <c r="C25" s="67" t="s">
        <v>530</v>
      </c>
      <c r="D25" s="67" t="s">
        <v>68</v>
      </c>
      <c r="E25" s="67" t="s">
        <v>69</v>
      </c>
      <c r="F25" s="67">
        <v>48015</v>
      </c>
      <c r="H25" s="67" t="s">
        <v>531</v>
      </c>
      <c r="I25" s="67" t="s">
        <v>532</v>
      </c>
      <c r="J25" s="67"/>
      <c r="K25" s="67">
        <v>12482514775</v>
      </c>
      <c r="M25" s="80">
        <v>24</v>
      </c>
      <c r="N25" s="67" t="s">
        <v>533</v>
      </c>
      <c r="O25" s="80">
        <v>15</v>
      </c>
      <c r="P25" s="67" t="s">
        <v>534</v>
      </c>
      <c r="Q25" s="67">
        <v>13135291946</v>
      </c>
      <c r="R25" s="67" t="s">
        <v>535</v>
      </c>
      <c r="T25" s="80" t="s">
        <v>46</v>
      </c>
      <c r="U25" s="80" t="s">
        <v>85</v>
      </c>
      <c r="V25" s="177">
        <v>2</v>
      </c>
      <c r="W25" s="80" t="str">
        <f>IF(OR(studentdata[[#This Row],[Weekend 2025]]&lt;&gt;""),"Yes","")</f>
        <v>Yes</v>
      </c>
      <c r="X25" s="80">
        <v>10</v>
      </c>
      <c r="Y25" s="80" t="str">
        <f>IF(OR(studentdata[[#This Row],[Evening 2025]]&lt;&gt;""),"Yes","")</f>
        <v/>
      </c>
      <c r="Z25" s="80"/>
      <c r="AA25" s="80"/>
      <c r="AB25" s="80" t="str">
        <f>IF(OR(studentdata[[#This Row],[Weekend 2025 Enrolled]]="Yes",studentdata[[#This Row],[Evening 2025 Enrolled]]="Yes"),"Yes","")</f>
        <v>Yes</v>
      </c>
      <c r="AE25"/>
      <c r="AF25"/>
      <c r="AG25"/>
    </row>
    <row r="26" spans="1:33" x14ac:dyDescent="0.25">
      <c r="A26" s="80">
        <v>7</v>
      </c>
      <c r="B26" s="67" t="s">
        <v>45</v>
      </c>
      <c r="C26" s="67" t="s">
        <v>530</v>
      </c>
      <c r="D26" s="67" t="s">
        <v>68</v>
      </c>
      <c r="E26" s="67" t="s">
        <v>69</v>
      </c>
      <c r="F26" s="67">
        <v>48015</v>
      </c>
      <c r="H26" s="67" t="s">
        <v>531</v>
      </c>
      <c r="I26" s="67" t="s">
        <v>532</v>
      </c>
      <c r="J26" s="67"/>
      <c r="K26" s="67">
        <v>12482514775</v>
      </c>
      <c r="M26" s="80">
        <v>25</v>
      </c>
      <c r="N26" s="67" t="s">
        <v>625</v>
      </c>
      <c r="O26" s="80">
        <v>15</v>
      </c>
      <c r="P26" s="67" t="s">
        <v>534</v>
      </c>
      <c r="Q26" s="67">
        <v>13135291946</v>
      </c>
      <c r="R26" s="67" t="s">
        <v>535</v>
      </c>
      <c r="T26" s="80" t="s">
        <v>46</v>
      </c>
      <c r="U26" s="80" t="s">
        <v>57</v>
      </c>
      <c r="V26" s="177" t="s">
        <v>48</v>
      </c>
      <c r="W26" s="80" t="str">
        <f>IF(OR(studentdata[[#This Row],[Weekend 2025]]&lt;&gt;""),"Yes","")</f>
        <v>Yes</v>
      </c>
      <c r="X26" s="80">
        <v>7</v>
      </c>
      <c r="Y26" s="80" t="str">
        <f>IF(OR(studentdata[[#This Row],[Evening 2025]]&lt;&gt;""),"Yes","")</f>
        <v/>
      </c>
      <c r="Z26" s="80"/>
      <c r="AA26" s="80"/>
      <c r="AB26" s="80" t="str">
        <f>IF(OR(studentdata[[#This Row],[Weekend 2025 Enrolled]]="Yes",studentdata[[#This Row],[Evening 2025 Enrolled]]="Yes"),"Yes","")</f>
        <v>Yes</v>
      </c>
      <c r="AE26"/>
      <c r="AF26"/>
      <c r="AG26"/>
    </row>
    <row r="27" spans="1:33" x14ac:dyDescent="0.25">
      <c r="A27" s="80">
        <v>10</v>
      </c>
      <c r="C27" s="67" t="s">
        <v>233</v>
      </c>
      <c r="D27" s="67" t="s">
        <v>68</v>
      </c>
      <c r="E27" s="67" t="s">
        <v>69</v>
      </c>
      <c r="F27" s="67">
        <v>0</v>
      </c>
      <c r="H27" s="67" t="s">
        <v>234</v>
      </c>
      <c r="I27" s="67" t="s">
        <v>235</v>
      </c>
      <c r="J27" s="67"/>
      <c r="K27" s="67">
        <v>13134557909</v>
      </c>
      <c r="M27" s="80">
        <v>26</v>
      </c>
      <c r="N27" s="67" t="s">
        <v>236</v>
      </c>
      <c r="O27" s="80">
        <v>16</v>
      </c>
      <c r="P27" s="67" t="s">
        <v>237</v>
      </c>
      <c r="Q27" s="67">
        <v>15864959971</v>
      </c>
      <c r="R27" s="67" t="s">
        <v>238</v>
      </c>
      <c r="T27" s="80" t="s">
        <v>56</v>
      </c>
      <c r="U27" s="80" t="s">
        <v>85</v>
      </c>
      <c r="V27" s="177">
        <v>2</v>
      </c>
      <c r="W27" s="80" t="str">
        <f>IF(OR(studentdata[[#This Row],[Weekend 2025]]&lt;&gt;""),"Yes","")</f>
        <v>Yes</v>
      </c>
      <c r="X27" s="80">
        <v>10</v>
      </c>
      <c r="Y27" s="80" t="str">
        <f>IF(OR(studentdata[[#This Row],[Evening 2025]]&lt;&gt;""),"Yes","")</f>
        <v/>
      </c>
      <c r="Z27" s="80"/>
      <c r="AA27" s="80"/>
      <c r="AB27" s="80" t="str">
        <f>IF(OR(studentdata[[#This Row],[Weekend 2025 Enrolled]]="Yes",studentdata[[#This Row],[Evening 2025 Enrolled]]="Yes"),"Yes","")</f>
        <v>Yes</v>
      </c>
      <c r="AE27"/>
      <c r="AF27"/>
      <c r="AG27"/>
    </row>
    <row r="28" spans="1:33" x14ac:dyDescent="0.25">
      <c r="A28" s="80">
        <v>8</v>
      </c>
      <c r="B28" s="67" t="s">
        <v>45</v>
      </c>
      <c r="C28" s="67" t="s">
        <v>233</v>
      </c>
      <c r="D28" s="67" t="s">
        <v>68</v>
      </c>
      <c r="E28" s="67" t="s">
        <v>69</v>
      </c>
      <c r="F28" s="67">
        <v>0</v>
      </c>
      <c r="H28" s="67" t="s">
        <v>234</v>
      </c>
      <c r="I28" s="67" t="s">
        <v>235</v>
      </c>
      <c r="J28" s="67"/>
      <c r="K28" s="67">
        <v>13134557909</v>
      </c>
      <c r="M28" s="80">
        <v>27</v>
      </c>
      <c r="N28" s="67" t="s">
        <v>687</v>
      </c>
      <c r="O28" s="80">
        <v>16</v>
      </c>
      <c r="P28" s="67" t="s">
        <v>237</v>
      </c>
      <c r="Q28" s="67">
        <v>15864959971</v>
      </c>
      <c r="R28" s="67" t="s">
        <v>238</v>
      </c>
      <c r="T28" s="80" t="s">
        <v>46</v>
      </c>
      <c r="U28" s="80" t="s">
        <v>80</v>
      </c>
      <c r="V28" s="177" t="s">
        <v>142</v>
      </c>
      <c r="W28" s="80" t="str">
        <f>IF(OR(studentdata[[#This Row],[Weekend 2025]]&lt;&gt;""),"Yes","")</f>
        <v>Yes</v>
      </c>
      <c r="X28" s="80">
        <v>8</v>
      </c>
      <c r="Y28" s="80" t="str">
        <f>IF(OR(studentdata[[#This Row],[Evening 2025]]&lt;&gt;""),"Yes","")</f>
        <v/>
      </c>
      <c r="Z28" s="80"/>
      <c r="AA28" s="80"/>
      <c r="AB28" s="80" t="str">
        <f>IF(OR(studentdata[[#This Row],[Weekend 2025 Enrolled]]="Yes",studentdata[[#This Row],[Evening 2025 Enrolled]]="Yes"),"Yes","")</f>
        <v>Yes</v>
      </c>
      <c r="AE28"/>
      <c r="AF28"/>
      <c r="AG28"/>
    </row>
    <row r="29" spans="1:33" x14ac:dyDescent="0.25">
      <c r="A29" s="80">
        <v>6</v>
      </c>
      <c r="C29" s="67" t="s">
        <v>233</v>
      </c>
      <c r="D29" s="67" t="s">
        <v>68</v>
      </c>
      <c r="E29" s="67" t="s">
        <v>69</v>
      </c>
      <c r="F29" s="67">
        <v>0</v>
      </c>
      <c r="H29" s="67" t="s">
        <v>234</v>
      </c>
      <c r="I29" s="67" t="s">
        <v>235</v>
      </c>
      <c r="J29" s="67"/>
      <c r="K29" s="67">
        <v>13134557909</v>
      </c>
      <c r="M29" s="80">
        <v>28</v>
      </c>
      <c r="N29" s="67" t="s">
        <v>451</v>
      </c>
      <c r="O29" s="80">
        <v>16</v>
      </c>
      <c r="P29" s="67" t="s">
        <v>237</v>
      </c>
      <c r="Q29" s="67">
        <v>15864959971</v>
      </c>
      <c r="R29" s="67" t="s">
        <v>238</v>
      </c>
      <c r="T29" s="80" t="s">
        <v>56</v>
      </c>
      <c r="U29" s="80" t="s">
        <v>95</v>
      </c>
      <c r="V29" s="177" t="s">
        <v>137</v>
      </c>
      <c r="W29" s="80" t="str">
        <f>IF(OR(studentdata[[#This Row],[Weekend 2025]]&lt;&gt;""),"Yes","")</f>
        <v>Yes</v>
      </c>
      <c r="X29" s="80">
        <v>9</v>
      </c>
      <c r="Y29" s="80" t="str">
        <f>IF(OR(studentdata[[#This Row],[Evening 2025]]&lt;&gt;""),"Yes","")</f>
        <v/>
      </c>
      <c r="Z29" s="80"/>
      <c r="AA29" s="80"/>
      <c r="AB29" s="80" t="str">
        <f>IF(OR(studentdata[[#This Row],[Weekend 2025 Enrolled]]="Yes",studentdata[[#This Row],[Evening 2025 Enrolled]]="Yes"),"Yes","")</f>
        <v>Yes</v>
      </c>
      <c r="AE29"/>
      <c r="AF29"/>
      <c r="AG29"/>
    </row>
    <row r="30" spans="1:33" x14ac:dyDescent="0.25">
      <c r="A30" s="80">
        <v>12</v>
      </c>
      <c r="B30" s="67">
        <v>2</v>
      </c>
      <c r="C30" s="67" t="s">
        <v>151</v>
      </c>
      <c r="D30" s="67" t="s">
        <v>68</v>
      </c>
      <c r="E30" s="67" t="s">
        <v>69</v>
      </c>
      <c r="F30" s="67">
        <v>48091</v>
      </c>
      <c r="I30" s="67"/>
      <c r="J30" s="67"/>
      <c r="M30" s="80">
        <v>29</v>
      </c>
      <c r="N30" s="67" t="s">
        <v>157</v>
      </c>
      <c r="O30" s="80">
        <v>17</v>
      </c>
      <c r="P30" s="67" t="s">
        <v>149</v>
      </c>
      <c r="Q30" s="67">
        <v>13133126891</v>
      </c>
      <c r="R30" s="67" t="s">
        <v>150</v>
      </c>
      <c r="T30" s="80" t="s">
        <v>46</v>
      </c>
      <c r="U30" s="80" t="s">
        <v>61</v>
      </c>
      <c r="V30" s="177">
        <v>4</v>
      </c>
      <c r="W30" s="80" t="str">
        <f>IF(OR(studentdata[[#This Row],[Weekend 2025]]&lt;&gt;""),"Yes","")</f>
        <v>Yes</v>
      </c>
      <c r="X30" s="80">
        <v>2</v>
      </c>
      <c r="Y30" s="80" t="str">
        <f>IF(OR(studentdata[[#This Row],[Evening 2025]]&lt;&gt;""),"Yes","")</f>
        <v>Yes</v>
      </c>
      <c r="Z30" s="80">
        <v>14</v>
      </c>
      <c r="AA30" s="80"/>
      <c r="AB30" s="80" t="str">
        <f>IF(OR(studentdata[[#This Row],[Weekend 2025 Enrolled]]="Yes",studentdata[[#This Row],[Evening 2025 Enrolled]]="Yes"),"Yes","")</f>
        <v>Yes</v>
      </c>
      <c r="AE30"/>
      <c r="AF30"/>
      <c r="AG30"/>
    </row>
    <row r="31" spans="1:33" x14ac:dyDescent="0.25">
      <c r="A31" s="80">
        <v>8</v>
      </c>
      <c r="B31" s="67">
        <v>3</v>
      </c>
      <c r="C31" s="67" t="s">
        <v>151</v>
      </c>
      <c r="D31" s="67" t="s">
        <v>68</v>
      </c>
      <c r="E31" s="67" t="s">
        <v>69</v>
      </c>
      <c r="F31" s="67">
        <v>48091</v>
      </c>
      <c r="I31" s="67"/>
      <c r="J31" s="67"/>
      <c r="M31" s="80">
        <v>30</v>
      </c>
      <c r="N31" s="67" t="s">
        <v>361</v>
      </c>
      <c r="O31" s="80">
        <v>17</v>
      </c>
      <c r="P31" s="67" t="s">
        <v>149</v>
      </c>
      <c r="Q31" s="67">
        <v>13133126891</v>
      </c>
      <c r="R31" s="67" t="s">
        <v>150</v>
      </c>
      <c r="T31" s="80" t="s">
        <v>56</v>
      </c>
      <c r="U31" s="80" t="s">
        <v>52</v>
      </c>
      <c r="V31" s="177">
        <v>4</v>
      </c>
      <c r="W31" s="80" t="str">
        <f>IF(OR(studentdata[[#This Row],[Weekend 2025]]&lt;&gt;""),"Yes","")</f>
        <v>Yes</v>
      </c>
      <c r="X31" s="80">
        <v>14</v>
      </c>
      <c r="Y31" s="80" t="str">
        <f>IF(OR(studentdata[[#This Row],[Evening 2025]]&lt;&gt;""),"Yes","")</f>
        <v/>
      </c>
      <c r="Z31" s="80"/>
      <c r="AA31" s="80"/>
      <c r="AB31" s="80" t="str">
        <f>IF(OR(studentdata[[#This Row],[Weekend 2025 Enrolled]]="Yes",studentdata[[#This Row],[Evening 2025 Enrolled]]="Yes"),"Yes","")</f>
        <v>Yes</v>
      </c>
      <c r="AE31"/>
      <c r="AF31"/>
      <c r="AG31"/>
    </row>
    <row r="32" spans="1:33" x14ac:dyDescent="0.25">
      <c r="A32" s="80">
        <v>6</v>
      </c>
      <c r="B32" s="67">
        <v>2</v>
      </c>
      <c r="C32" s="67" t="s">
        <v>151</v>
      </c>
      <c r="D32" s="67" t="s">
        <v>68</v>
      </c>
      <c r="E32" s="67" t="s">
        <v>69</v>
      </c>
      <c r="F32" s="67">
        <v>48091</v>
      </c>
      <c r="I32" s="67"/>
      <c r="J32" s="67"/>
      <c r="M32" s="80">
        <v>31</v>
      </c>
      <c r="N32" s="67" t="s">
        <v>148</v>
      </c>
      <c r="O32" s="80">
        <v>17</v>
      </c>
      <c r="P32" s="67" t="s">
        <v>149</v>
      </c>
      <c r="Q32" s="67">
        <v>13133126891</v>
      </c>
      <c r="R32" s="67" t="s">
        <v>150</v>
      </c>
      <c r="T32" s="80" t="s">
        <v>46</v>
      </c>
      <c r="U32" s="80" t="s">
        <v>57</v>
      </c>
      <c r="V32" s="177">
        <v>2</v>
      </c>
      <c r="W32" s="80" t="str">
        <f>IF(OR(studentdata[[#This Row],[Weekend 2025]]&lt;&gt;""),"Yes","")</f>
        <v>Yes</v>
      </c>
      <c r="X32" s="80">
        <v>13</v>
      </c>
      <c r="Y32" s="80" t="str">
        <f>IF(OR(studentdata[[#This Row],[Evening 2025]]&lt;&gt;""),"Yes","")</f>
        <v>Yes</v>
      </c>
      <c r="Z32" s="80">
        <v>15</v>
      </c>
      <c r="AA32" s="80"/>
      <c r="AB32" s="80" t="str">
        <f>IF(OR(studentdata[[#This Row],[Weekend 2025 Enrolled]]="Yes",studentdata[[#This Row],[Evening 2025 Enrolled]]="Yes"),"Yes","")</f>
        <v>Yes</v>
      </c>
      <c r="AE32"/>
      <c r="AF32"/>
      <c r="AG32"/>
    </row>
    <row r="33" spans="1:33" x14ac:dyDescent="0.25">
      <c r="A33" s="80">
        <v>15</v>
      </c>
      <c r="C33" s="67" t="s">
        <v>332</v>
      </c>
      <c r="D33" s="67" t="s">
        <v>93</v>
      </c>
      <c r="E33" s="67" t="s">
        <v>69</v>
      </c>
      <c r="F33" s="67">
        <v>48310</v>
      </c>
      <c r="I33" s="67"/>
      <c r="J33" s="67"/>
      <c r="M33" s="80">
        <v>32</v>
      </c>
      <c r="N33" s="67" t="s">
        <v>589</v>
      </c>
      <c r="O33" s="80">
        <v>18</v>
      </c>
      <c r="P33" s="67" t="s">
        <v>334</v>
      </c>
      <c r="Q33" s="67">
        <v>15864956736</v>
      </c>
      <c r="R33" s="67" t="s">
        <v>335</v>
      </c>
      <c r="S33" s="67">
        <v>15864893523</v>
      </c>
      <c r="T33" s="80" t="s">
        <v>46</v>
      </c>
      <c r="U33" s="80" t="s">
        <v>199</v>
      </c>
      <c r="V33" s="177">
        <v>4</v>
      </c>
      <c r="W33" s="80" t="str">
        <f>IF(OR(studentdata[[#This Row],[Weekend 2025]]&lt;&gt;""),"Yes","")</f>
        <v>Yes</v>
      </c>
      <c r="X33" s="80">
        <v>3</v>
      </c>
      <c r="Y33" s="80" t="str">
        <f>IF(OR(studentdata[[#This Row],[Evening 2025]]&lt;&gt;""),"Yes","")</f>
        <v/>
      </c>
      <c r="Z33" s="80"/>
      <c r="AA33" s="80"/>
      <c r="AB33" s="80" t="str">
        <f>IF(OR(studentdata[[#This Row],[Weekend 2025 Enrolled]]="Yes",studentdata[[#This Row],[Evening 2025 Enrolled]]="Yes"),"Yes","")</f>
        <v>Yes</v>
      </c>
      <c r="AE33"/>
      <c r="AF33"/>
      <c r="AG33"/>
    </row>
    <row r="34" spans="1:33" x14ac:dyDescent="0.25">
      <c r="A34" s="80">
        <v>10</v>
      </c>
      <c r="C34" s="67" t="s">
        <v>332</v>
      </c>
      <c r="D34" s="67" t="s">
        <v>93</v>
      </c>
      <c r="E34" s="67" t="s">
        <v>69</v>
      </c>
      <c r="F34" s="67">
        <v>48310</v>
      </c>
      <c r="I34" s="67"/>
      <c r="J34" s="67"/>
      <c r="M34" s="80">
        <v>33</v>
      </c>
      <c r="N34" s="67" t="s">
        <v>333</v>
      </c>
      <c r="O34" s="80">
        <v>18</v>
      </c>
      <c r="P34" s="67" t="s">
        <v>334</v>
      </c>
      <c r="Q34" s="67">
        <v>13139303202</v>
      </c>
      <c r="R34" s="67" t="s">
        <v>335</v>
      </c>
      <c r="T34" s="80" t="s">
        <v>56</v>
      </c>
      <c r="U34" s="80" t="s">
        <v>156</v>
      </c>
      <c r="V34" s="177">
        <v>4</v>
      </c>
      <c r="W34" s="80" t="str">
        <f>IF(OR(studentdata[[#This Row],[Weekend 2025]]&lt;&gt;""),"Yes","")</f>
        <v>Yes</v>
      </c>
      <c r="X34" s="80">
        <v>4</v>
      </c>
      <c r="Y34" s="80" t="str">
        <f>IF(OR(studentdata[[#This Row],[Evening 2025]]&lt;&gt;""),"Yes","")</f>
        <v/>
      </c>
      <c r="Z34" s="80"/>
      <c r="AA34" s="80"/>
      <c r="AB34" s="80" t="str">
        <f>IF(OR(studentdata[[#This Row],[Weekend 2025 Enrolled]]="Yes",studentdata[[#This Row],[Evening 2025 Enrolled]]="Yes"),"Yes","")</f>
        <v>Yes</v>
      </c>
      <c r="AE34"/>
      <c r="AF34"/>
      <c r="AG34"/>
    </row>
    <row r="35" spans="1:33" x14ac:dyDescent="0.25">
      <c r="A35" s="80">
        <v>10</v>
      </c>
      <c r="B35" s="67">
        <v>3</v>
      </c>
      <c r="C35" s="67" t="s">
        <v>141</v>
      </c>
      <c r="D35" s="67" t="s">
        <v>68</v>
      </c>
      <c r="E35" s="67" t="s">
        <v>69</v>
      </c>
      <c r="F35" s="67">
        <v>48091</v>
      </c>
      <c r="I35" s="67"/>
      <c r="J35" s="67"/>
      <c r="M35" s="80">
        <v>34</v>
      </c>
      <c r="N35" s="67" t="s">
        <v>138</v>
      </c>
      <c r="O35" s="80">
        <v>19</v>
      </c>
      <c r="P35" s="67" t="s">
        <v>139</v>
      </c>
      <c r="Q35" s="67">
        <v>15864572462</v>
      </c>
      <c r="R35" s="67" t="s">
        <v>140</v>
      </c>
      <c r="T35" s="80" t="s">
        <v>56</v>
      </c>
      <c r="U35" s="80" t="s">
        <v>52</v>
      </c>
      <c r="V35" s="177" t="s">
        <v>142</v>
      </c>
      <c r="W35" s="80" t="str">
        <f>IF(OR(studentdata[[#This Row],[Weekend 2025]]&lt;&gt;""),"Yes","")</f>
        <v>Yes</v>
      </c>
      <c r="X35" s="80">
        <v>4</v>
      </c>
      <c r="Y35" s="80" t="str">
        <f>IF(OR(studentdata[[#This Row],[Evening 2025]]&lt;&gt;""),"Yes","")</f>
        <v>Yes</v>
      </c>
      <c r="Z35" s="80">
        <v>3</v>
      </c>
      <c r="AA35" s="80"/>
      <c r="AB35" s="80" t="str">
        <f>IF(OR(studentdata[[#This Row],[Weekend 2025 Enrolled]]="Yes",studentdata[[#This Row],[Evening 2025 Enrolled]]="Yes"),"Yes","")</f>
        <v>Yes</v>
      </c>
      <c r="AE35"/>
      <c r="AF35"/>
      <c r="AG35"/>
    </row>
    <row r="36" spans="1:33" x14ac:dyDescent="0.25">
      <c r="A36" s="80">
        <v>11</v>
      </c>
      <c r="C36" s="67" t="s">
        <v>305</v>
      </c>
      <c r="D36" s="67" t="s">
        <v>68</v>
      </c>
      <c r="E36" s="67" t="s">
        <v>69</v>
      </c>
      <c r="F36" s="67">
        <v>48091</v>
      </c>
      <c r="H36" s="67" t="s">
        <v>306</v>
      </c>
      <c r="I36" s="67"/>
      <c r="J36" s="67"/>
      <c r="M36" s="80">
        <v>35</v>
      </c>
      <c r="N36" s="67" t="s">
        <v>307</v>
      </c>
      <c r="O36" s="80">
        <v>20</v>
      </c>
      <c r="P36" s="67" t="s">
        <v>308</v>
      </c>
      <c r="Q36" s="67">
        <v>13133463143</v>
      </c>
      <c r="R36" s="67" t="s">
        <v>309</v>
      </c>
      <c r="T36" s="80" t="s">
        <v>56</v>
      </c>
      <c r="U36" s="80" t="s">
        <v>85</v>
      </c>
      <c r="V36" s="177">
        <v>3</v>
      </c>
      <c r="W36" s="80" t="str">
        <f>IF(OR(studentdata[[#This Row],[Weekend 2025]]&lt;&gt;""),"Yes","")</f>
        <v>Yes</v>
      </c>
      <c r="X36" s="80">
        <v>13</v>
      </c>
      <c r="Y36" s="80" t="str">
        <f>IF(OR(studentdata[[#This Row],[Evening 2025]]&lt;&gt;""),"Yes","")</f>
        <v/>
      </c>
      <c r="Z36" s="80"/>
      <c r="AA36" s="80"/>
      <c r="AB36" s="80" t="str">
        <f>IF(OR(studentdata[[#This Row],[Weekend 2025 Enrolled]]="Yes",studentdata[[#This Row],[Evening 2025 Enrolled]]="Yes"),"Yes","")</f>
        <v>Yes</v>
      </c>
      <c r="AE36"/>
      <c r="AF36"/>
      <c r="AG36"/>
    </row>
    <row r="37" spans="1:33" x14ac:dyDescent="0.25">
      <c r="A37" s="80">
        <v>9</v>
      </c>
      <c r="C37" s="67" t="s">
        <v>305</v>
      </c>
      <c r="D37" s="67" t="s">
        <v>68</v>
      </c>
      <c r="E37" s="67" t="s">
        <v>69</v>
      </c>
      <c r="F37" s="67">
        <v>48091</v>
      </c>
      <c r="H37" s="67" t="s">
        <v>306</v>
      </c>
      <c r="I37" s="67"/>
      <c r="J37" s="67"/>
      <c r="M37" s="80">
        <v>36</v>
      </c>
      <c r="N37" s="67" t="s">
        <v>491</v>
      </c>
      <c r="O37" s="80">
        <v>20</v>
      </c>
      <c r="P37" s="67" t="s">
        <v>308</v>
      </c>
      <c r="Q37" s="67">
        <v>13133463143</v>
      </c>
      <c r="R37" s="67" t="s">
        <v>309</v>
      </c>
      <c r="T37" s="80" t="s">
        <v>56</v>
      </c>
      <c r="U37" s="80" t="s">
        <v>80</v>
      </c>
      <c r="V37" s="177" t="s">
        <v>142</v>
      </c>
      <c r="W37" s="80" t="str">
        <f>IF(OR(studentdata[[#This Row],[Weekend 2025]]&lt;&gt;""),"Yes","")</f>
        <v>Yes</v>
      </c>
      <c r="X37" s="80">
        <v>13</v>
      </c>
      <c r="Y37" s="80" t="str">
        <f>IF(OR(studentdata[[#This Row],[Evening 2025]]&lt;&gt;""),"Yes","")</f>
        <v/>
      </c>
      <c r="Z37" s="80"/>
      <c r="AA37" s="80"/>
      <c r="AB37" s="80" t="str">
        <f>IF(OR(studentdata[[#This Row],[Weekend 2025 Enrolled]]="Yes",studentdata[[#This Row],[Evening 2025 Enrolled]]="Yes"),"Yes","")</f>
        <v>Yes</v>
      </c>
      <c r="AE37"/>
      <c r="AF37"/>
      <c r="AG37"/>
    </row>
    <row r="38" spans="1:33" x14ac:dyDescent="0.25">
      <c r="A38" s="80">
        <v>9</v>
      </c>
      <c r="B38" s="67" t="s">
        <v>239</v>
      </c>
      <c r="C38" s="67" t="s">
        <v>521</v>
      </c>
      <c r="D38" s="67" t="s">
        <v>68</v>
      </c>
      <c r="E38" s="67" t="s">
        <v>69</v>
      </c>
      <c r="F38" s="67">
        <v>48092</v>
      </c>
      <c r="I38" s="67"/>
      <c r="J38" s="67"/>
      <c r="M38" s="80">
        <v>37</v>
      </c>
      <c r="N38" s="67" t="s">
        <v>650</v>
      </c>
      <c r="O38" s="80">
        <v>21</v>
      </c>
      <c r="P38" s="67" t="s">
        <v>523</v>
      </c>
      <c r="Q38" s="67">
        <v>15863035531</v>
      </c>
      <c r="R38" s="67" t="s">
        <v>524</v>
      </c>
      <c r="T38" s="80" t="s">
        <v>46</v>
      </c>
      <c r="U38" s="80" t="s">
        <v>85</v>
      </c>
      <c r="V38" s="177" t="s">
        <v>137</v>
      </c>
      <c r="W38" s="80" t="str">
        <f>IF(OR(studentdata[[#This Row],[Weekend 2025]]&lt;&gt;""),"Yes","")</f>
        <v>Yes</v>
      </c>
      <c r="X38" s="80">
        <v>9</v>
      </c>
      <c r="Y38" s="80" t="str">
        <f>IF(OR(studentdata[[#This Row],[Evening 2025]]&lt;&gt;""),"Yes","")</f>
        <v/>
      </c>
      <c r="Z38" s="80"/>
      <c r="AA38" s="80"/>
      <c r="AB38" s="80" t="str">
        <f>IF(OR(studentdata[[#This Row],[Weekend 2025 Enrolled]]="Yes",studentdata[[#This Row],[Evening 2025 Enrolled]]="Yes"),"Yes","")</f>
        <v>Yes</v>
      </c>
    </row>
    <row r="39" spans="1:33" x14ac:dyDescent="0.25">
      <c r="A39" s="80">
        <v>8</v>
      </c>
      <c r="C39" s="67" t="s">
        <v>521</v>
      </c>
      <c r="D39" s="67" t="s">
        <v>68</v>
      </c>
      <c r="E39" s="67" t="s">
        <v>69</v>
      </c>
      <c r="F39" s="67">
        <v>48092</v>
      </c>
      <c r="I39" s="67"/>
      <c r="J39" s="67"/>
      <c r="M39" s="80">
        <v>38</v>
      </c>
      <c r="N39" s="67" t="s">
        <v>522</v>
      </c>
      <c r="O39" s="80">
        <v>21</v>
      </c>
      <c r="P39" s="67" t="s">
        <v>523</v>
      </c>
      <c r="Q39" s="67">
        <v>15863035531</v>
      </c>
      <c r="R39" s="67" t="s">
        <v>524</v>
      </c>
      <c r="T39" s="80" t="s">
        <v>46</v>
      </c>
      <c r="U39" s="80" t="s">
        <v>52</v>
      </c>
      <c r="V39" s="177">
        <v>2</v>
      </c>
      <c r="W39" s="80" t="str">
        <f>IF(OR(studentdata[[#This Row],[Weekend 2025]]&lt;&gt;""),"Yes","")</f>
        <v>Yes</v>
      </c>
      <c r="X39" s="80">
        <v>7</v>
      </c>
      <c r="Y39" s="80" t="str">
        <f>IF(OR(studentdata[[#This Row],[Evening 2025]]&lt;&gt;""),"Yes","")</f>
        <v/>
      </c>
      <c r="Z39" s="80"/>
      <c r="AA39" s="80"/>
      <c r="AB39" s="80" t="str">
        <f>IF(OR(studentdata[[#This Row],[Weekend 2025 Enrolled]]="Yes",studentdata[[#This Row],[Evening 2025 Enrolled]]="Yes"),"Yes","")</f>
        <v>Yes</v>
      </c>
    </row>
    <row r="40" spans="1:33" x14ac:dyDescent="0.25">
      <c r="A40" s="80">
        <v>6</v>
      </c>
      <c r="C40" s="67" t="s">
        <v>521</v>
      </c>
      <c r="D40" s="67" t="s">
        <v>68</v>
      </c>
      <c r="E40" s="67" t="s">
        <v>69</v>
      </c>
      <c r="F40" s="67">
        <v>48092</v>
      </c>
      <c r="I40" s="67"/>
      <c r="J40" s="67"/>
      <c r="M40" s="80">
        <v>39</v>
      </c>
      <c r="N40" s="67" t="s">
        <v>624</v>
      </c>
      <c r="O40" s="80">
        <v>21</v>
      </c>
      <c r="P40" s="67" t="s">
        <v>523</v>
      </c>
      <c r="Q40" s="67">
        <v>15863035531</v>
      </c>
      <c r="R40" s="67" t="s">
        <v>524</v>
      </c>
      <c r="T40" s="80" t="s">
        <v>46</v>
      </c>
      <c r="U40" s="80" t="s">
        <v>171</v>
      </c>
      <c r="V40" s="177" t="s">
        <v>48</v>
      </c>
      <c r="W40" s="80" t="str">
        <f>IF(OR(studentdata[[#This Row],[Weekend 2025]]&lt;&gt;""),"Yes","")</f>
        <v>Yes</v>
      </c>
      <c r="X40" s="80">
        <v>6</v>
      </c>
      <c r="Y40" s="80" t="str">
        <f>IF(OR(studentdata[[#This Row],[Evening 2025]]&lt;&gt;""),"Yes","")</f>
        <v/>
      </c>
      <c r="Z40" s="80"/>
      <c r="AA40" s="80"/>
      <c r="AB40" s="80" t="str">
        <f>IF(OR(studentdata[[#This Row],[Weekend 2025 Enrolled]]="Yes",studentdata[[#This Row],[Evening 2025 Enrolled]]="Yes"),"Yes","")</f>
        <v>Yes</v>
      </c>
    </row>
    <row r="41" spans="1:33" x14ac:dyDescent="0.25">
      <c r="A41" s="80">
        <v>6</v>
      </c>
      <c r="C41" s="67" t="s">
        <v>415</v>
      </c>
      <c r="D41" s="67" t="s">
        <v>93</v>
      </c>
      <c r="E41" s="67" t="s">
        <v>69</v>
      </c>
      <c r="F41" s="67">
        <v>48310</v>
      </c>
      <c r="H41" s="67" t="s">
        <v>416</v>
      </c>
      <c r="I41" s="67" t="s">
        <v>417</v>
      </c>
      <c r="J41" s="67"/>
      <c r="K41" s="67">
        <v>15865226444</v>
      </c>
      <c r="M41" s="80">
        <v>40</v>
      </c>
      <c r="N41" s="67" t="s">
        <v>418</v>
      </c>
      <c r="O41" s="80">
        <v>22</v>
      </c>
      <c r="P41" s="67" t="s">
        <v>419</v>
      </c>
      <c r="Q41" s="67">
        <v>13136418897</v>
      </c>
      <c r="R41" s="67" t="s">
        <v>416</v>
      </c>
      <c r="T41" s="80" t="s">
        <v>56</v>
      </c>
      <c r="U41" s="80" t="s">
        <v>57</v>
      </c>
      <c r="V41" s="177" t="s">
        <v>48</v>
      </c>
      <c r="W41" s="80" t="str">
        <f>IF(OR(studentdata[[#This Row],[Weekend 2025]]&lt;&gt;""),"Yes","")</f>
        <v>Yes</v>
      </c>
      <c r="X41" s="80">
        <v>18</v>
      </c>
      <c r="Y41" s="80" t="str">
        <f>IF(OR(studentdata[[#This Row],[Evening 2025]]&lt;&gt;""),"Yes","")</f>
        <v/>
      </c>
      <c r="Z41" s="80"/>
      <c r="AA41" s="80"/>
      <c r="AB41" s="80" t="str">
        <f>IF(OR(studentdata[[#This Row],[Weekend 2025 Enrolled]]="Yes",studentdata[[#This Row],[Evening 2025 Enrolled]]="Yes"),"Yes","")</f>
        <v>Yes</v>
      </c>
    </row>
    <row r="42" spans="1:33" x14ac:dyDescent="0.25">
      <c r="A42" s="80">
        <v>8</v>
      </c>
      <c r="C42" s="67" t="s">
        <v>614</v>
      </c>
      <c r="D42" s="67" t="s">
        <v>93</v>
      </c>
      <c r="E42" s="67" t="s">
        <v>69</v>
      </c>
      <c r="F42" s="67">
        <v>48310</v>
      </c>
      <c r="H42" s="67" t="s">
        <v>615</v>
      </c>
      <c r="I42" s="67" t="s">
        <v>75</v>
      </c>
      <c r="J42" s="67"/>
      <c r="K42" s="67">
        <v>13136418897</v>
      </c>
      <c r="M42" s="80">
        <v>41</v>
      </c>
      <c r="N42" s="67" t="s">
        <v>616</v>
      </c>
      <c r="O42" s="80">
        <v>23</v>
      </c>
      <c r="P42" s="67" t="s">
        <v>617</v>
      </c>
      <c r="Q42" s="67">
        <v>13133275571</v>
      </c>
      <c r="R42" s="67" t="s">
        <v>618</v>
      </c>
      <c r="T42" s="80" t="s">
        <v>46</v>
      </c>
      <c r="U42" s="80" t="s">
        <v>95</v>
      </c>
      <c r="V42" s="177" t="s">
        <v>48</v>
      </c>
      <c r="W42" s="80" t="str">
        <f>IF(OR(studentdata[[#This Row],[Weekend 2025]]&lt;&gt;""),"Yes","")</f>
        <v>Yes</v>
      </c>
      <c r="X42" s="80">
        <v>1</v>
      </c>
      <c r="Y42" s="80" t="str">
        <f>IF(OR(studentdata[[#This Row],[Evening 2025]]&lt;&gt;""),"Yes","")</f>
        <v/>
      </c>
      <c r="Z42" s="80"/>
      <c r="AA42" s="80"/>
      <c r="AB42" s="80" t="str">
        <f>IF(OR(studentdata[[#This Row],[Weekend 2025 Enrolled]]="Yes",studentdata[[#This Row],[Evening 2025 Enrolled]]="Yes"),"Yes","")</f>
        <v>Yes</v>
      </c>
    </row>
    <row r="43" spans="1:33" x14ac:dyDescent="0.25">
      <c r="A43" s="80">
        <v>5</v>
      </c>
      <c r="C43" s="67" t="s">
        <v>939</v>
      </c>
      <c r="D43" s="67" t="s">
        <v>68</v>
      </c>
      <c r="E43" s="67" t="s">
        <v>69</v>
      </c>
      <c r="F43" s="67">
        <v>48091</v>
      </c>
      <c r="H43" s="67" t="s">
        <v>940</v>
      </c>
      <c r="I43" s="67" t="s">
        <v>417</v>
      </c>
      <c r="J43" s="67"/>
      <c r="M43" s="80">
        <v>42</v>
      </c>
      <c r="N43" s="67" t="s">
        <v>941</v>
      </c>
      <c r="O43" s="80">
        <v>24</v>
      </c>
      <c r="P43" s="67" t="s">
        <v>942</v>
      </c>
      <c r="Q43" s="67">
        <v>13139502575</v>
      </c>
      <c r="R43" s="67" t="s">
        <v>940</v>
      </c>
      <c r="T43" s="80" t="s">
        <v>46</v>
      </c>
      <c r="U43" s="80" t="s">
        <v>171</v>
      </c>
      <c r="V43" s="177"/>
      <c r="W43" s="80" t="str">
        <f>IF(OR(studentdata[[#This Row],[Weekend 2025]]&lt;&gt;""),"Yes","")</f>
        <v/>
      </c>
      <c r="X43" s="80"/>
      <c r="Y43" s="80" t="str">
        <f>IF(OR(studentdata[[#This Row],[Evening 2025]]&lt;&gt;""),"Yes","")</f>
        <v/>
      </c>
      <c r="Z43" s="80"/>
      <c r="AA43" s="80"/>
      <c r="AB43" s="80" t="str">
        <f>IF(OR(studentdata[[#This Row],[Weekend 2025 Enrolled]]="Yes",studentdata[[#This Row],[Evening 2025 Enrolled]]="Yes"),"Yes","")</f>
        <v/>
      </c>
    </row>
    <row r="44" spans="1:33" x14ac:dyDescent="0.25">
      <c r="A44" s="80">
        <v>13</v>
      </c>
      <c r="C44" s="67" t="s">
        <v>301</v>
      </c>
      <c r="D44" s="67" t="s">
        <v>68</v>
      </c>
      <c r="E44" s="67" t="s">
        <v>69</v>
      </c>
      <c r="F44" s="67">
        <v>48092</v>
      </c>
      <c r="H44" s="67" t="s">
        <v>302</v>
      </c>
      <c r="I44" s="67" t="s">
        <v>170</v>
      </c>
      <c r="J44" s="67"/>
      <c r="M44" s="80">
        <v>43</v>
      </c>
      <c r="N44" s="67" t="s">
        <v>360</v>
      </c>
      <c r="O44" s="80">
        <v>25</v>
      </c>
      <c r="P44" s="67" t="s">
        <v>302</v>
      </c>
      <c r="Q44" s="67">
        <v>13133847850</v>
      </c>
      <c r="R44" s="67" t="s">
        <v>304</v>
      </c>
      <c r="T44" s="80" t="s">
        <v>56</v>
      </c>
      <c r="U44" s="80" t="s">
        <v>109</v>
      </c>
      <c r="V44" s="177">
        <v>4</v>
      </c>
      <c r="W44" s="80" t="str">
        <f>IF(OR(studentdata[[#This Row],[Weekend 2025]]&lt;&gt;""),"Yes","")</f>
        <v>Yes</v>
      </c>
      <c r="X44" s="80">
        <v>13</v>
      </c>
      <c r="Y44" s="80" t="str">
        <f>IF(OR(studentdata[[#This Row],[Evening 2025]]&lt;&gt;""),"Yes","")</f>
        <v/>
      </c>
      <c r="Z44" s="80"/>
      <c r="AA44" s="80"/>
      <c r="AB44" s="80" t="str">
        <f>IF(OR(studentdata[[#This Row],[Weekend 2025 Enrolled]]="Yes",studentdata[[#This Row],[Evening 2025 Enrolled]]="Yes"),"Yes","")</f>
        <v>Yes</v>
      </c>
    </row>
    <row r="45" spans="1:33" x14ac:dyDescent="0.25">
      <c r="A45" s="80">
        <v>12</v>
      </c>
      <c r="C45" s="67" t="s">
        <v>301</v>
      </c>
      <c r="D45" s="67" t="s">
        <v>68</v>
      </c>
      <c r="E45" s="67" t="s">
        <v>69</v>
      </c>
      <c r="F45" s="67">
        <v>48092</v>
      </c>
      <c r="H45" s="67" t="s">
        <v>302</v>
      </c>
      <c r="I45" s="67" t="s">
        <v>170</v>
      </c>
      <c r="J45" s="67"/>
      <c r="M45" s="80">
        <v>44</v>
      </c>
      <c r="N45" s="67" t="s">
        <v>303</v>
      </c>
      <c r="O45" s="80">
        <v>25</v>
      </c>
      <c r="P45" s="67" t="s">
        <v>302</v>
      </c>
      <c r="Q45" s="67">
        <v>13133847850</v>
      </c>
      <c r="R45" s="67" t="s">
        <v>304</v>
      </c>
      <c r="T45" s="80" t="s">
        <v>56</v>
      </c>
      <c r="U45" s="80" t="s">
        <v>61</v>
      </c>
      <c r="V45" s="177">
        <v>3</v>
      </c>
      <c r="W45" s="80" t="str">
        <f>IF(OR(studentdata[[#This Row],[Weekend 2025]]&lt;&gt;""),"Yes","")</f>
        <v>Yes</v>
      </c>
      <c r="X45" s="80">
        <v>12</v>
      </c>
      <c r="Y45" s="80" t="str">
        <f>IF(OR(studentdata[[#This Row],[Evening 2025]]&lt;&gt;""),"Yes","")</f>
        <v/>
      </c>
      <c r="Z45" s="80"/>
      <c r="AA45" s="80"/>
      <c r="AB45" s="80" t="str">
        <f>IF(OR(studentdata[[#This Row],[Weekend 2025 Enrolled]]="Yes",studentdata[[#This Row],[Evening 2025 Enrolled]]="Yes"),"Yes","")</f>
        <v>Yes</v>
      </c>
    </row>
    <row r="46" spans="1:33" x14ac:dyDescent="0.25">
      <c r="A46" s="80">
        <v>14</v>
      </c>
      <c r="C46" s="67" t="s">
        <v>279</v>
      </c>
      <c r="D46" s="67" t="s">
        <v>68</v>
      </c>
      <c r="E46" s="67" t="s">
        <v>69</v>
      </c>
      <c r="F46" s="67">
        <v>48093</v>
      </c>
      <c r="H46" s="67" t="s">
        <v>280</v>
      </c>
      <c r="I46" s="67" t="s">
        <v>165</v>
      </c>
      <c r="J46" s="67"/>
      <c r="K46" s="67">
        <v>15863285514</v>
      </c>
      <c r="M46" s="80">
        <v>45</v>
      </c>
      <c r="N46" s="67" t="s">
        <v>590</v>
      </c>
      <c r="O46" s="80">
        <v>26</v>
      </c>
      <c r="P46" s="67" t="s">
        <v>282</v>
      </c>
      <c r="Q46" s="67">
        <v>13134146160</v>
      </c>
      <c r="R46" s="67" t="s">
        <v>283</v>
      </c>
      <c r="S46" s="67">
        <v>15863815864</v>
      </c>
      <c r="T46" s="80" t="s">
        <v>46</v>
      </c>
      <c r="U46" s="80" t="s">
        <v>199</v>
      </c>
      <c r="V46" s="177">
        <v>4</v>
      </c>
      <c r="W46" s="80" t="str">
        <f>IF(OR(studentdata[[#This Row],[Weekend 2025]]&lt;&gt;""),"Yes","")</f>
        <v>Yes</v>
      </c>
      <c r="X46" s="80">
        <v>4</v>
      </c>
      <c r="Y46" s="80" t="str">
        <f>IF(OR(studentdata[[#This Row],[Evening 2025]]&lt;&gt;""),"Yes","")</f>
        <v/>
      </c>
      <c r="Z46" s="80"/>
      <c r="AA46" s="80"/>
      <c r="AB46" s="80" t="str">
        <f>IF(OR(studentdata[[#This Row],[Weekend 2025 Enrolled]]="Yes",studentdata[[#This Row],[Evening 2025 Enrolled]]="Yes"),"Yes","")</f>
        <v>Yes</v>
      </c>
    </row>
    <row r="47" spans="1:33" x14ac:dyDescent="0.25">
      <c r="A47" s="80">
        <v>9</v>
      </c>
      <c r="B47" s="67" t="s">
        <v>278</v>
      </c>
      <c r="C47" s="67" t="s">
        <v>279</v>
      </c>
      <c r="D47" s="67" t="s">
        <v>68</v>
      </c>
      <c r="E47" s="67" t="s">
        <v>69</v>
      </c>
      <c r="F47" s="67">
        <v>48093</v>
      </c>
      <c r="H47" s="67" t="s">
        <v>280</v>
      </c>
      <c r="I47" s="67" t="s">
        <v>165</v>
      </c>
      <c r="J47" s="67"/>
      <c r="K47" s="67">
        <v>15863285514</v>
      </c>
      <c r="M47" s="80">
        <v>46</v>
      </c>
      <c r="N47" s="67" t="s">
        <v>281</v>
      </c>
      <c r="O47" s="80">
        <v>26</v>
      </c>
      <c r="P47" s="67" t="s">
        <v>282</v>
      </c>
      <c r="Q47" s="67">
        <v>13134146160</v>
      </c>
      <c r="R47" s="67" t="s">
        <v>283</v>
      </c>
      <c r="S47" s="67">
        <v>15863815864</v>
      </c>
      <c r="T47" s="80" t="s">
        <v>56</v>
      </c>
      <c r="U47" s="80" t="s">
        <v>52</v>
      </c>
      <c r="V47" s="177">
        <v>3</v>
      </c>
      <c r="W47" s="80" t="str">
        <f>IF(OR(studentdata[[#This Row],[Weekend 2025]]&lt;&gt;""),"Yes","")</f>
        <v>Yes</v>
      </c>
      <c r="X47" s="80">
        <v>5</v>
      </c>
      <c r="Y47" s="80" t="str">
        <f>IF(OR(studentdata[[#This Row],[Evening 2025]]&lt;&gt;""),"Yes","")</f>
        <v/>
      </c>
      <c r="Z47" s="80"/>
      <c r="AA47" s="80"/>
      <c r="AB47" s="80" t="str">
        <f>IF(OR(studentdata[[#This Row],[Weekend 2025 Enrolled]]="Yes",studentdata[[#This Row],[Evening 2025 Enrolled]]="Yes"),"Yes","")</f>
        <v>Yes</v>
      </c>
    </row>
    <row r="48" spans="1:33" x14ac:dyDescent="0.25">
      <c r="A48" s="80">
        <v>7</v>
      </c>
      <c r="B48" s="67" t="s">
        <v>278</v>
      </c>
      <c r="C48" s="67" t="s">
        <v>749</v>
      </c>
      <c r="D48" s="67" t="s">
        <v>68</v>
      </c>
      <c r="E48" s="67" t="s">
        <v>69</v>
      </c>
      <c r="F48" s="67">
        <v>48091</v>
      </c>
      <c r="H48" s="67" t="s">
        <v>120</v>
      </c>
      <c r="I48" s="67" t="s">
        <v>750</v>
      </c>
      <c r="J48" s="67"/>
      <c r="M48" s="80">
        <v>47</v>
      </c>
      <c r="N48" s="88" t="s">
        <v>751</v>
      </c>
      <c r="O48" s="80">
        <v>27</v>
      </c>
      <c r="P48" s="67" t="s">
        <v>120</v>
      </c>
      <c r="Q48" s="67">
        <v>16464794711</v>
      </c>
      <c r="R48" s="67" t="s">
        <v>435</v>
      </c>
      <c r="T48" s="80" t="s">
        <v>56</v>
      </c>
      <c r="U48" s="80" t="s">
        <v>95</v>
      </c>
      <c r="V48" s="177"/>
      <c r="W48" s="80" t="str">
        <f>IF(OR(studentdata[[#This Row],[Weekend 2025]]&lt;&gt;""),"Yes","")</f>
        <v/>
      </c>
      <c r="X48" s="80"/>
      <c r="Y48" s="80" t="str">
        <f>IF(OR(studentdata[[#This Row],[Evening 2025]]&lt;&gt;""),"Yes","")</f>
        <v/>
      </c>
      <c r="Z48" s="80"/>
      <c r="AA48" s="80"/>
      <c r="AB48" s="80" t="str">
        <f>IF(OR(studentdata[[#This Row],[Weekend 2025 Enrolled]]="Yes",studentdata[[#This Row],[Evening 2025 Enrolled]]="Yes"),"Yes","")</f>
        <v/>
      </c>
    </row>
    <row r="49" spans="1:28" x14ac:dyDescent="0.25">
      <c r="A49" s="80">
        <v>8</v>
      </c>
      <c r="C49" s="67" t="s">
        <v>752</v>
      </c>
      <c r="D49" s="67" t="s">
        <v>68</v>
      </c>
      <c r="E49" s="67" t="s">
        <v>69</v>
      </c>
      <c r="F49" s="67">
        <v>48092</v>
      </c>
      <c r="I49" s="67" t="s">
        <v>75</v>
      </c>
      <c r="J49" s="67"/>
      <c r="K49" s="67">
        <v>12484347251</v>
      </c>
      <c r="M49" s="80">
        <v>48</v>
      </c>
      <c r="N49" s="67" t="s">
        <v>753</v>
      </c>
      <c r="O49" s="80">
        <v>28</v>
      </c>
      <c r="P49" s="67" t="s">
        <v>754</v>
      </c>
      <c r="Q49" s="67">
        <v>13137822416</v>
      </c>
      <c r="R49" s="67" t="s">
        <v>755</v>
      </c>
      <c r="T49" s="80" t="s">
        <v>56</v>
      </c>
      <c r="U49" s="80" t="s">
        <v>95</v>
      </c>
      <c r="V49" s="177"/>
      <c r="W49" s="80" t="str">
        <f>IF(OR(studentdata[[#This Row],[Weekend 2025]]&lt;&gt;""),"Yes","")</f>
        <v/>
      </c>
      <c r="X49" s="80"/>
      <c r="Y49" s="80" t="str">
        <f>IF(OR(studentdata[[#This Row],[Evening 2025]]&lt;&gt;""),"Yes","")</f>
        <v/>
      </c>
      <c r="Z49" s="80"/>
      <c r="AA49" s="80"/>
      <c r="AB49" s="80" t="str">
        <f>IF(OR(studentdata[[#This Row],[Weekend 2025 Enrolled]]="Yes",studentdata[[#This Row],[Evening 2025 Enrolled]]="Yes"),"Yes","")</f>
        <v/>
      </c>
    </row>
    <row r="50" spans="1:28" x14ac:dyDescent="0.25">
      <c r="A50" s="80">
        <v>16</v>
      </c>
      <c r="C50" s="67" t="s">
        <v>756</v>
      </c>
      <c r="D50" s="67" t="s">
        <v>93</v>
      </c>
      <c r="E50" s="67" t="s">
        <v>69</v>
      </c>
      <c r="F50" s="67">
        <v>48314</v>
      </c>
      <c r="I50" s="67"/>
      <c r="J50" s="67"/>
      <c r="M50" s="80">
        <v>49</v>
      </c>
      <c r="N50" s="67" t="s">
        <v>943</v>
      </c>
      <c r="O50" s="80">
        <v>29</v>
      </c>
      <c r="P50" s="67" t="s">
        <v>758</v>
      </c>
      <c r="Q50" s="67">
        <v>13137126612</v>
      </c>
      <c r="R50" s="67" t="s">
        <v>759</v>
      </c>
      <c r="T50" s="80" t="s">
        <v>46</v>
      </c>
      <c r="U50" s="80" t="s">
        <v>195</v>
      </c>
      <c r="V50" s="177"/>
      <c r="W50" s="80" t="str">
        <f>IF(OR(studentdata[[#This Row],[Weekend 2025]]&lt;&gt;""),"Yes","")</f>
        <v/>
      </c>
      <c r="X50" s="80"/>
      <c r="Y50" s="80" t="str">
        <f>IF(OR(studentdata[[#This Row],[Evening 2025]]&lt;&gt;""),"Yes","")</f>
        <v/>
      </c>
      <c r="Z50" s="80"/>
      <c r="AA50" s="80"/>
      <c r="AB50" s="80" t="str">
        <f>IF(OR(studentdata[[#This Row],[Weekend 2025 Enrolled]]="Yes",studentdata[[#This Row],[Evening 2025 Enrolled]]="Yes"),"Yes","")</f>
        <v/>
      </c>
    </row>
    <row r="51" spans="1:28" x14ac:dyDescent="0.25">
      <c r="A51" s="80">
        <v>8</v>
      </c>
      <c r="C51" s="67" t="s">
        <v>756</v>
      </c>
      <c r="D51" s="67" t="s">
        <v>93</v>
      </c>
      <c r="E51" s="67" t="s">
        <v>69</v>
      </c>
      <c r="F51" s="67">
        <v>48314</v>
      </c>
      <c r="I51" s="67"/>
      <c r="J51" s="67"/>
      <c r="M51" s="80">
        <v>50</v>
      </c>
      <c r="N51" s="67" t="s">
        <v>757</v>
      </c>
      <c r="O51" s="80">
        <v>29</v>
      </c>
      <c r="P51" s="67" t="s">
        <v>758</v>
      </c>
      <c r="Q51" s="67">
        <v>13137126612</v>
      </c>
      <c r="R51" s="67" t="s">
        <v>759</v>
      </c>
      <c r="T51" s="80" t="s">
        <v>56</v>
      </c>
      <c r="U51" s="80" t="s">
        <v>80</v>
      </c>
      <c r="V51" s="177"/>
      <c r="W51" s="80" t="str">
        <f>IF(OR(studentdata[[#This Row],[Weekend 2025]]&lt;&gt;""),"Yes","")</f>
        <v/>
      </c>
      <c r="X51" s="80"/>
      <c r="Y51" s="80" t="str">
        <f>IF(OR(studentdata[[#This Row],[Evening 2025]]&lt;&gt;""),"Yes","")</f>
        <v/>
      </c>
      <c r="Z51" s="80"/>
      <c r="AA51" s="80"/>
      <c r="AB51" s="80" t="str">
        <f>IF(OR(studentdata[[#This Row],[Weekend 2025 Enrolled]]="Yes",studentdata[[#This Row],[Evening 2025 Enrolled]]="Yes"),"Yes","")</f>
        <v/>
      </c>
    </row>
    <row r="52" spans="1:28" x14ac:dyDescent="0.25">
      <c r="A52" s="80">
        <v>7</v>
      </c>
      <c r="C52" s="67" t="s">
        <v>704</v>
      </c>
      <c r="D52" s="67" t="s">
        <v>68</v>
      </c>
      <c r="E52" s="67" t="s">
        <v>69</v>
      </c>
      <c r="F52" s="67">
        <v>48092</v>
      </c>
      <c r="H52" s="67" t="s">
        <v>705</v>
      </c>
      <c r="I52" s="67" t="s">
        <v>75</v>
      </c>
      <c r="J52" s="67">
        <v>13139037808</v>
      </c>
      <c r="M52" s="80">
        <v>51</v>
      </c>
      <c r="N52" s="67" t="s">
        <v>706</v>
      </c>
      <c r="O52" s="80">
        <v>30</v>
      </c>
      <c r="P52" s="67" t="s">
        <v>707</v>
      </c>
      <c r="Q52" s="67">
        <v>19293930004</v>
      </c>
      <c r="R52" s="67" t="s">
        <v>708</v>
      </c>
      <c r="T52" s="80" t="s">
        <v>56</v>
      </c>
      <c r="U52" s="80" t="s">
        <v>57</v>
      </c>
      <c r="V52" s="177">
        <v>2</v>
      </c>
      <c r="W52" s="80" t="str">
        <f>IF(OR(studentdata[[#This Row],[Weekend 2025]]&lt;&gt;""),"Yes","")</f>
        <v/>
      </c>
      <c r="X52" s="80"/>
      <c r="Y52" s="80" t="str">
        <f>IF(OR(studentdata[[#This Row],[Evening 2025]]&lt;&gt;""),"Yes","")</f>
        <v/>
      </c>
      <c r="Z52" s="80"/>
      <c r="AA52" s="80"/>
      <c r="AB52" s="80" t="str">
        <f>IF(OR(studentdata[[#This Row],[Weekend 2025 Enrolled]]="Yes",studentdata[[#This Row],[Evening 2025 Enrolled]]="Yes"),"Yes","")</f>
        <v/>
      </c>
    </row>
    <row r="53" spans="1:28" x14ac:dyDescent="0.25">
      <c r="A53" s="80">
        <v>7</v>
      </c>
      <c r="C53" s="67" t="s">
        <v>211</v>
      </c>
      <c r="D53" s="67" t="s">
        <v>68</v>
      </c>
      <c r="E53" s="67" t="s">
        <v>69</v>
      </c>
      <c r="F53" s="67">
        <v>48092</v>
      </c>
      <c r="H53" s="67" t="s">
        <v>212</v>
      </c>
      <c r="I53" s="67" t="s">
        <v>75</v>
      </c>
      <c r="J53" s="67"/>
      <c r="K53" s="67">
        <v>13134557490</v>
      </c>
      <c r="M53" s="80">
        <v>52</v>
      </c>
      <c r="N53" s="67" t="s">
        <v>213</v>
      </c>
      <c r="O53" s="80">
        <v>31</v>
      </c>
      <c r="P53" s="67" t="s">
        <v>214</v>
      </c>
      <c r="Q53" s="67">
        <v>13133276388</v>
      </c>
      <c r="R53" s="67" t="s">
        <v>215</v>
      </c>
      <c r="T53" s="80" t="s">
        <v>56</v>
      </c>
      <c r="U53" s="80" t="s">
        <v>95</v>
      </c>
      <c r="V53" s="177">
        <v>2</v>
      </c>
      <c r="W53" s="80" t="str">
        <f>IF(OR(studentdata[[#This Row],[Weekend 2025]]&lt;&gt;""),"Yes","")</f>
        <v>Yes</v>
      </c>
      <c r="X53" s="80">
        <v>5</v>
      </c>
      <c r="Y53" s="80" t="str">
        <f>IF(OR(studentdata[[#This Row],[Evening 2025]]&lt;&gt;""),"Yes","")</f>
        <v/>
      </c>
      <c r="Z53" s="80"/>
      <c r="AA53" s="80"/>
      <c r="AB53" s="80" t="str">
        <f>IF(OR(studentdata[[#This Row],[Weekend 2025 Enrolled]]="Yes",studentdata[[#This Row],[Evening 2025 Enrolled]]="Yes"),"Yes","")</f>
        <v>Yes</v>
      </c>
    </row>
    <row r="54" spans="1:28" x14ac:dyDescent="0.25">
      <c r="A54" s="80">
        <v>9</v>
      </c>
      <c r="B54" s="67" t="s">
        <v>239</v>
      </c>
      <c r="C54" s="67" t="s">
        <v>211</v>
      </c>
      <c r="D54" s="67" t="s">
        <v>68</v>
      </c>
      <c r="E54" s="67" t="s">
        <v>69</v>
      </c>
      <c r="F54" s="67">
        <v>48092</v>
      </c>
      <c r="H54" s="67" t="s">
        <v>212</v>
      </c>
      <c r="I54" s="67" t="s">
        <v>75</v>
      </c>
      <c r="J54" s="67"/>
      <c r="K54" s="67">
        <v>13134557490</v>
      </c>
      <c r="M54" s="80">
        <v>53</v>
      </c>
      <c r="N54" s="67" t="s">
        <v>648</v>
      </c>
      <c r="O54" s="80">
        <v>31</v>
      </c>
      <c r="P54" s="67" t="s">
        <v>214</v>
      </c>
      <c r="Q54" s="67">
        <v>13133276388</v>
      </c>
      <c r="R54" s="67" t="s">
        <v>215</v>
      </c>
      <c r="T54" s="80" t="s">
        <v>46</v>
      </c>
      <c r="U54" s="80" t="s">
        <v>95</v>
      </c>
      <c r="V54" s="177" t="s">
        <v>137</v>
      </c>
      <c r="W54" s="80" t="str">
        <f>IF(OR(studentdata[[#This Row],[Weekend 2025]]&lt;&gt;""),"Yes","")</f>
        <v>Yes</v>
      </c>
      <c r="X54" s="80">
        <v>6</v>
      </c>
      <c r="Y54" s="80" t="str">
        <f>IF(OR(studentdata[[#This Row],[Evening 2025]]&lt;&gt;""),"Yes","")</f>
        <v/>
      </c>
      <c r="Z54" s="80"/>
      <c r="AA54" s="80"/>
      <c r="AB54" s="80" t="str">
        <f>IF(OR(studentdata[[#This Row],[Weekend 2025 Enrolled]]="Yes",studentdata[[#This Row],[Evening 2025 Enrolled]]="Yes"),"Yes","")</f>
        <v>Yes</v>
      </c>
    </row>
    <row r="55" spans="1:28" x14ac:dyDescent="0.25">
      <c r="A55" s="80">
        <v>6</v>
      </c>
      <c r="C55" s="67" t="s">
        <v>211</v>
      </c>
      <c r="D55" s="67" t="s">
        <v>68</v>
      </c>
      <c r="E55" s="67" t="s">
        <v>69</v>
      </c>
      <c r="F55" s="67">
        <v>48092</v>
      </c>
      <c r="H55" s="67" t="s">
        <v>212</v>
      </c>
      <c r="I55" s="67" t="s">
        <v>75</v>
      </c>
      <c r="J55" s="67"/>
      <c r="K55" s="67">
        <v>13134557490</v>
      </c>
      <c r="M55" s="80">
        <v>54</v>
      </c>
      <c r="N55" s="67" t="s">
        <v>944</v>
      </c>
      <c r="O55" s="80">
        <v>31</v>
      </c>
      <c r="P55" s="67" t="s">
        <v>214</v>
      </c>
      <c r="Q55" s="67">
        <v>13133276388</v>
      </c>
      <c r="R55" s="67" t="s">
        <v>215</v>
      </c>
      <c r="S55" s="67">
        <v>3135046388</v>
      </c>
      <c r="T55" s="80" t="s">
        <v>46</v>
      </c>
      <c r="U55" s="80" t="s">
        <v>171</v>
      </c>
      <c r="V55" s="177">
        <v>2</v>
      </c>
      <c r="W55" s="80" t="s">
        <v>50</v>
      </c>
      <c r="X55" s="80">
        <v>4</v>
      </c>
      <c r="Y55" s="80" t="str">
        <f>IF(OR(studentdata[[#This Row],[Evening 2025]]&lt;&gt;""),"Yes","")</f>
        <v/>
      </c>
      <c r="Z55" s="80"/>
      <c r="AA55" s="80"/>
      <c r="AB55" s="80" t="str">
        <f>IF(OR(studentdata[[#This Row],[Weekend 2025 Enrolled]]="Yes",studentdata[[#This Row],[Evening 2025 Enrolled]]="Yes"),"Yes","")</f>
        <v>Yes</v>
      </c>
    </row>
    <row r="56" spans="1:28" x14ac:dyDescent="0.25">
      <c r="A56" s="80">
        <v>7</v>
      </c>
      <c r="B56" s="67" t="s">
        <v>239</v>
      </c>
      <c r="C56" s="67" t="s">
        <v>643</v>
      </c>
      <c r="D56" s="67" t="s">
        <v>68</v>
      </c>
      <c r="E56" s="67" t="s">
        <v>69</v>
      </c>
      <c r="F56" s="67">
        <v>48091</v>
      </c>
      <c r="H56" s="67" t="s">
        <v>644</v>
      </c>
      <c r="I56" s="67" t="s">
        <v>165</v>
      </c>
      <c r="J56" s="67"/>
      <c r="K56" s="67">
        <v>13136509900</v>
      </c>
      <c r="M56" s="80">
        <v>55</v>
      </c>
      <c r="N56" s="67" t="s">
        <v>645</v>
      </c>
      <c r="O56" s="80">
        <v>32</v>
      </c>
      <c r="P56" s="67" t="s">
        <v>646</v>
      </c>
      <c r="Q56" s="67">
        <v>13137757229</v>
      </c>
      <c r="R56" s="67" t="s">
        <v>647</v>
      </c>
      <c r="T56" s="80" t="s">
        <v>46</v>
      </c>
      <c r="U56" s="80" t="s">
        <v>95</v>
      </c>
      <c r="V56" s="177" t="s">
        <v>137</v>
      </c>
      <c r="W56" s="80" t="str">
        <f>IF(OR(studentdata[[#This Row],[Weekend 2025]]&lt;&gt;""),"Yes","")</f>
        <v>Yes</v>
      </c>
      <c r="X56" s="80">
        <v>5</v>
      </c>
      <c r="Y56" s="80" t="str">
        <f>IF(OR(studentdata[[#This Row],[Evening 2025]]&lt;&gt;""),"Yes","")</f>
        <v/>
      </c>
      <c r="Z56" s="80"/>
      <c r="AA56" s="80"/>
      <c r="AB56" s="80" t="str">
        <f>IF(OR(studentdata[[#This Row],[Weekend 2025 Enrolled]]="Yes",studentdata[[#This Row],[Evening 2025 Enrolled]]="Yes"),"Yes","")</f>
        <v>Yes</v>
      </c>
    </row>
    <row r="57" spans="1:28" x14ac:dyDescent="0.25">
      <c r="A57" s="80">
        <v>5</v>
      </c>
      <c r="B57" s="67" t="s">
        <v>45</v>
      </c>
      <c r="C57" s="67" t="s">
        <v>643</v>
      </c>
      <c r="D57" s="67" t="s">
        <v>68</v>
      </c>
      <c r="E57" s="67" t="s">
        <v>69</v>
      </c>
      <c r="F57" s="67">
        <v>48091</v>
      </c>
      <c r="H57" s="67" t="s">
        <v>644</v>
      </c>
      <c r="I57" s="67" t="s">
        <v>165</v>
      </c>
      <c r="J57" s="67"/>
      <c r="K57" s="67">
        <v>13136509900</v>
      </c>
      <c r="M57" s="80">
        <v>56</v>
      </c>
      <c r="N57" s="67" t="s">
        <v>672</v>
      </c>
      <c r="O57" s="80">
        <v>32</v>
      </c>
      <c r="P57" s="67" t="s">
        <v>646</v>
      </c>
      <c r="Q57" s="67">
        <v>13137757229</v>
      </c>
      <c r="R57" s="67" t="s">
        <v>647</v>
      </c>
      <c r="T57" s="80" t="s">
        <v>46</v>
      </c>
      <c r="U57" s="80" t="s">
        <v>57</v>
      </c>
      <c r="V57" s="177" t="s">
        <v>142</v>
      </c>
      <c r="W57" s="80" t="str">
        <f>IF(OR(studentdata[[#This Row],[Weekend 2025]]&lt;&gt;""),"Yes","")</f>
        <v>Yes</v>
      </c>
      <c r="X57" s="80">
        <v>1</v>
      </c>
      <c r="Y57" s="80" t="str">
        <f>IF(OR(studentdata[[#This Row],[Evening 2025]]&lt;&gt;""),"Yes","")</f>
        <v/>
      </c>
      <c r="Z57" s="80"/>
      <c r="AA57" s="80"/>
      <c r="AB57" s="80" t="str">
        <f>IF(OR(studentdata[[#This Row],[Weekend 2025 Enrolled]]="Yes",studentdata[[#This Row],[Evening 2025 Enrolled]]="Yes"),"Yes","")</f>
        <v>Yes</v>
      </c>
    </row>
    <row r="58" spans="1:28" x14ac:dyDescent="0.25">
      <c r="A58" s="80">
        <v>8</v>
      </c>
      <c r="C58" s="67" t="s">
        <v>945</v>
      </c>
      <c r="D58" s="67" t="s">
        <v>68</v>
      </c>
      <c r="E58" s="67" t="s">
        <v>69</v>
      </c>
      <c r="F58" s="67">
        <v>48088</v>
      </c>
      <c r="H58" s="67" t="s">
        <v>946</v>
      </c>
      <c r="I58" s="67" t="s">
        <v>417</v>
      </c>
      <c r="J58" s="67">
        <v>19733564233</v>
      </c>
      <c r="M58" s="80">
        <v>57</v>
      </c>
      <c r="N58" s="67" t="s">
        <v>947</v>
      </c>
      <c r="O58" s="80">
        <v>33</v>
      </c>
      <c r="P58" s="67" t="s">
        <v>948</v>
      </c>
      <c r="Q58" s="67">
        <v>19733564233</v>
      </c>
      <c r="R58" s="67" t="s">
        <v>946</v>
      </c>
      <c r="T58" s="80" t="s">
        <v>46</v>
      </c>
      <c r="U58" s="80" t="s">
        <v>80</v>
      </c>
      <c r="V58" s="177"/>
      <c r="W58" s="80" t="str">
        <f>IF(OR(studentdata[[#This Row],[Weekend 2025]]&lt;&gt;""),"Yes","")</f>
        <v/>
      </c>
      <c r="X58" s="80"/>
      <c r="Y58" s="80" t="str">
        <f>IF(OR(studentdata[[#This Row],[Evening 2025]]&lt;&gt;""),"Yes","")</f>
        <v/>
      </c>
      <c r="Z58" s="80"/>
      <c r="AA58" s="80"/>
      <c r="AB58" s="80" t="str">
        <f>IF(OR(studentdata[[#This Row],[Weekend 2025 Enrolled]]="Yes",studentdata[[#This Row],[Evening 2025 Enrolled]]="Yes"),"Yes","")</f>
        <v/>
      </c>
    </row>
    <row r="59" spans="1:28" x14ac:dyDescent="0.25">
      <c r="A59" s="80">
        <v>7</v>
      </c>
      <c r="C59" s="67" t="s">
        <v>945</v>
      </c>
      <c r="D59" s="67" t="s">
        <v>68</v>
      </c>
      <c r="E59" s="67" t="s">
        <v>69</v>
      </c>
      <c r="F59" s="67">
        <v>48088</v>
      </c>
      <c r="H59" s="67" t="s">
        <v>946</v>
      </c>
      <c r="I59" s="67" t="s">
        <v>417</v>
      </c>
      <c r="J59" s="67">
        <v>19733564233</v>
      </c>
      <c r="M59" s="80">
        <v>58</v>
      </c>
      <c r="N59" s="67" t="s">
        <v>949</v>
      </c>
      <c r="O59" s="80">
        <v>33</v>
      </c>
      <c r="P59" s="67" t="s">
        <v>948</v>
      </c>
      <c r="Q59" s="67">
        <v>19733564233</v>
      </c>
      <c r="R59" s="67" t="s">
        <v>946</v>
      </c>
      <c r="T59" s="80" t="s">
        <v>46</v>
      </c>
      <c r="U59" s="80" t="s">
        <v>95</v>
      </c>
      <c r="V59" s="177"/>
      <c r="W59" s="80" t="str">
        <f>IF(OR(studentdata[[#This Row],[Weekend 2025]]&lt;&gt;""),"Yes","")</f>
        <v/>
      </c>
      <c r="X59" s="80"/>
      <c r="Y59" s="80" t="str">
        <f>IF(OR(studentdata[[#This Row],[Evening 2025]]&lt;&gt;""),"Yes","")</f>
        <v/>
      </c>
      <c r="Z59" s="80"/>
      <c r="AA59" s="80"/>
      <c r="AB59" s="80" t="str">
        <f>IF(OR(studentdata[[#This Row],[Weekend 2025 Enrolled]]="Yes",studentdata[[#This Row],[Evening 2025 Enrolled]]="Yes"),"Yes","")</f>
        <v/>
      </c>
    </row>
    <row r="60" spans="1:28" x14ac:dyDescent="0.25">
      <c r="A60" s="80">
        <v>6</v>
      </c>
      <c r="B60" s="67" t="s">
        <v>45</v>
      </c>
      <c r="C60" s="67" t="s">
        <v>656</v>
      </c>
      <c r="D60" s="67" t="s">
        <v>68</v>
      </c>
      <c r="E60" s="67" t="s">
        <v>69</v>
      </c>
      <c r="F60" s="67">
        <v>48092</v>
      </c>
      <c r="H60" s="67" t="s">
        <v>657</v>
      </c>
      <c r="I60" s="67" t="s">
        <v>170</v>
      </c>
      <c r="J60" s="67"/>
      <c r="M60" s="80">
        <v>59</v>
      </c>
      <c r="N60" s="67" t="s">
        <v>658</v>
      </c>
      <c r="O60" s="80">
        <v>34</v>
      </c>
      <c r="P60" s="67" t="s">
        <v>657</v>
      </c>
      <c r="Q60" s="67">
        <v>15869430052</v>
      </c>
      <c r="R60" s="67" t="s">
        <v>659</v>
      </c>
      <c r="T60" s="80" t="s">
        <v>46</v>
      </c>
      <c r="U60" s="80" t="s">
        <v>171</v>
      </c>
      <c r="V60" s="177" t="s">
        <v>137</v>
      </c>
      <c r="W60" s="80" t="str">
        <f>IF(OR(studentdata[[#This Row],[Weekend 2025]]&lt;&gt;""),"Yes","")</f>
        <v>Yes</v>
      </c>
      <c r="X60" s="80">
        <v>12</v>
      </c>
      <c r="Y60" s="80" t="str">
        <f>IF(OR(studentdata[[#This Row],[Evening 2025]]&lt;&gt;""),"Yes","")</f>
        <v/>
      </c>
      <c r="Z60" s="80"/>
      <c r="AA60" s="80"/>
      <c r="AB60" s="80" t="str">
        <f>IF(OR(studentdata[[#This Row],[Weekend 2025 Enrolled]]="Yes",studentdata[[#This Row],[Evening 2025 Enrolled]]="Yes"),"Yes","")</f>
        <v>Yes</v>
      </c>
    </row>
    <row r="61" spans="1:28" x14ac:dyDescent="0.25">
      <c r="A61" s="80">
        <v>8</v>
      </c>
      <c r="B61" s="67">
        <v>2</v>
      </c>
      <c r="C61" s="67" t="s">
        <v>169</v>
      </c>
      <c r="D61" s="67" t="s">
        <v>68</v>
      </c>
      <c r="E61" s="67" t="s">
        <v>69</v>
      </c>
      <c r="F61" s="67">
        <v>48091</v>
      </c>
      <c r="H61" s="67" t="s">
        <v>167</v>
      </c>
      <c r="I61" s="67" t="s">
        <v>170</v>
      </c>
      <c r="J61" s="67">
        <v>16314649663</v>
      </c>
      <c r="M61" s="80">
        <v>60</v>
      </c>
      <c r="N61" s="67" t="s">
        <v>182</v>
      </c>
      <c r="O61" s="80">
        <v>35</v>
      </c>
      <c r="P61" s="67" t="s">
        <v>167</v>
      </c>
      <c r="Q61" s="67">
        <v>6314649663</v>
      </c>
      <c r="R61" s="67" t="s">
        <v>168</v>
      </c>
      <c r="S61" s="67">
        <v>13136019890</v>
      </c>
      <c r="T61" s="80" t="s">
        <v>46</v>
      </c>
      <c r="U61" s="80" t="s">
        <v>95</v>
      </c>
      <c r="V61" s="177" t="s">
        <v>137</v>
      </c>
      <c r="W61" s="80" t="str">
        <f>IF(OR(studentdata[[#This Row],[Weekend 2025]]&lt;&gt;""),"Yes","")</f>
        <v>Yes</v>
      </c>
      <c r="X61" s="80">
        <v>7</v>
      </c>
      <c r="Y61" s="80" t="str">
        <f>IF(OR(studentdata[[#This Row],[Evening 2025]]&lt;&gt;""),"Yes","")</f>
        <v>Yes</v>
      </c>
      <c r="Z61" s="80">
        <v>9</v>
      </c>
      <c r="AA61" s="80"/>
      <c r="AB61" s="80" t="str">
        <f>IF(OR(studentdata[[#This Row],[Weekend 2025 Enrolled]]="Yes",studentdata[[#This Row],[Evening 2025 Enrolled]]="Yes"),"Yes","")</f>
        <v>Yes</v>
      </c>
    </row>
    <row r="62" spans="1:28" x14ac:dyDescent="0.25">
      <c r="A62" s="80">
        <v>6</v>
      </c>
      <c r="B62" s="67">
        <v>1</v>
      </c>
      <c r="C62" s="67" t="s">
        <v>169</v>
      </c>
      <c r="D62" s="67" t="s">
        <v>68</v>
      </c>
      <c r="E62" s="67" t="s">
        <v>69</v>
      </c>
      <c r="F62" s="67">
        <v>48091</v>
      </c>
      <c r="H62" s="67" t="s">
        <v>167</v>
      </c>
      <c r="I62" s="67" t="s">
        <v>170</v>
      </c>
      <c r="J62" s="67">
        <v>16314649663</v>
      </c>
      <c r="M62" s="80">
        <v>61</v>
      </c>
      <c r="N62" s="67" t="s">
        <v>166</v>
      </c>
      <c r="O62" s="80">
        <v>35</v>
      </c>
      <c r="P62" s="67" t="s">
        <v>167</v>
      </c>
      <c r="Q62" s="67">
        <v>13136019890</v>
      </c>
      <c r="R62" s="67" t="s">
        <v>168</v>
      </c>
      <c r="T62" s="80" t="s">
        <v>46</v>
      </c>
      <c r="U62" s="80" t="s">
        <v>171</v>
      </c>
      <c r="V62" s="177" t="s">
        <v>48</v>
      </c>
      <c r="W62" s="80" t="str">
        <f>IF(OR(studentdata[[#This Row],[Weekend 2025]]&lt;&gt;""),"Yes","")</f>
        <v>Yes</v>
      </c>
      <c r="X62" s="80">
        <v>3</v>
      </c>
      <c r="Y62" s="80" t="str">
        <f>IF(OR(studentdata[[#This Row],[Evening 2025]]&lt;&gt;""),"Yes","")</f>
        <v>Yes</v>
      </c>
      <c r="Z62" s="80">
        <v>5</v>
      </c>
      <c r="AA62" s="80"/>
      <c r="AB62" s="80" t="str">
        <f>IF(OR(studentdata[[#This Row],[Weekend 2025 Enrolled]]="Yes",studentdata[[#This Row],[Evening 2025 Enrolled]]="Yes"),"Yes","")</f>
        <v>Yes</v>
      </c>
    </row>
    <row r="63" spans="1:28" x14ac:dyDescent="0.25">
      <c r="A63" s="80">
        <v>12</v>
      </c>
      <c r="C63" s="67" t="s">
        <v>248</v>
      </c>
      <c r="D63" s="67" t="s">
        <v>68</v>
      </c>
      <c r="E63" s="67" t="s">
        <v>69</v>
      </c>
      <c r="F63" s="67">
        <v>48091</v>
      </c>
      <c r="H63" s="67" t="s">
        <v>249</v>
      </c>
      <c r="I63" s="67" t="s">
        <v>75</v>
      </c>
      <c r="J63" s="67"/>
      <c r="K63" s="67">
        <v>18188264280</v>
      </c>
      <c r="M63" s="80">
        <v>62</v>
      </c>
      <c r="N63" s="67" t="s">
        <v>250</v>
      </c>
      <c r="O63" s="80">
        <v>36</v>
      </c>
      <c r="P63" s="67" t="s">
        <v>251</v>
      </c>
      <c r="Q63" s="67">
        <v>18183104975</v>
      </c>
      <c r="R63" s="67" t="s">
        <v>252</v>
      </c>
      <c r="T63" s="80" t="s">
        <v>56</v>
      </c>
      <c r="U63" s="80" t="s">
        <v>156</v>
      </c>
      <c r="V63" s="177">
        <v>2</v>
      </c>
      <c r="W63" s="80" t="str">
        <f>IF(OR(studentdata[[#This Row],[Weekend 2025]]&lt;&gt;""),"Yes","")</f>
        <v>Yes</v>
      </c>
      <c r="X63" s="80">
        <v>13</v>
      </c>
      <c r="Y63" s="80" t="str">
        <f>IF(OR(studentdata[[#This Row],[Evening 2025]]&lt;&gt;""),"Yes","")</f>
        <v/>
      </c>
      <c r="Z63" s="80"/>
      <c r="AA63" s="80"/>
      <c r="AB63" s="80" t="str">
        <f>IF(OR(studentdata[[#This Row],[Weekend 2025 Enrolled]]="Yes",studentdata[[#This Row],[Evening 2025 Enrolled]]="Yes"),"Yes","")</f>
        <v>Yes</v>
      </c>
    </row>
    <row r="64" spans="1:28" x14ac:dyDescent="0.25">
      <c r="A64" s="80">
        <v>6</v>
      </c>
      <c r="C64" s="67" t="s">
        <v>479</v>
      </c>
      <c r="D64" s="67" t="s">
        <v>68</v>
      </c>
      <c r="E64" s="67" t="s">
        <v>69</v>
      </c>
      <c r="F64" s="67">
        <v>48091</v>
      </c>
      <c r="I64" s="67"/>
      <c r="J64" s="67">
        <v>15862809634</v>
      </c>
      <c r="M64" s="80">
        <v>63</v>
      </c>
      <c r="N64" s="67" t="s">
        <v>480</v>
      </c>
      <c r="O64" s="80">
        <v>37</v>
      </c>
      <c r="P64" s="67" t="s">
        <v>481</v>
      </c>
      <c r="Q64" s="67">
        <v>15862161918</v>
      </c>
      <c r="R64" s="67" t="s">
        <v>482</v>
      </c>
      <c r="T64" s="80" t="s">
        <v>56</v>
      </c>
      <c r="U64" s="80" t="s">
        <v>171</v>
      </c>
      <c r="V64" s="177" t="s">
        <v>142</v>
      </c>
      <c r="W64" s="80" t="str">
        <f>IF(OR(studentdata[[#This Row],[Weekend 2025]]&lt;&gt;""),"Yes","")</f>
        <v>Yes</v>
      </c>
      <c r="X64" s="80">
        <v>6</v>
      </c>
      <c r="Y64" s="80" t="str">
        <f>IF(OR(studentdata[[#This Row],[Evening 2025]]&lt;&gt;""),"Yes","")</f>
        <v/>
      </c>
      <c r="Z64" s="80"/>
      <c r="AA64" s="80"/>
      <c r="AB64" s="80" t="str">
        <f>IF(OR(studentdata[[#This Row],[Weekend 2025 Enrolled]]="Yes",studentdata[[#This Row],[Evening 2025 Enrolled]]="Yes"),"Yes","")</f>
        <v>Yes</v>
      </c>
    </row>
    <row r="65" spans="1:28" x14ac:dyDescent="0.25">
      <c r="A65" s="80">
        <v>8</v>
      </c>
      <c r="C65" s="67" t="s">
        <v>390</v>
      </c>
      <c r="D65" s="67" t="s">
        <v>68</v>
      </c>
      <c r="E65" s="67" t="s">
        <v>69</v>
      </c>
      <c r="F65" s="67">
        <v>48091</v>
      </c>
      <c r="I65" s="67"/>
      <c r="J65" s="67"/>
      <c r="M65" s="80">
        <v>64</v>
      </c>
      <c r="N65" s="67" t="s">
        <v>735</v>
      </c>
      <c r="O65" s="80">
        <v>38</v>
      </c>
      <c r="P65" s="67" t="s">
        <v>392</v>
      </c>
      <c r="Q65" s="67">
        <v>19177698123</v>
      </c>
      <c r="R65" s="67" t="s">
        <v>393</v>
      </c>
      <c r="S65" s="67">
        <v>17186501535</v>
      </c>
      <c r="T65" s="80" t="s">
        <v>56</v>
      </c>
      <c r="U65" s="80" t="s">
        <v>80</v>
      </c>
      <c r="V65" s="177" t="s">
        <v>142</v>
      </c>
      <c r="W65" s="80" t="str">
        <f>IF(OR(studentdata[[#This Row],[Weekend 2025]]&lt;&gt;""),"Yes","")</f>
        <v/>
      </c>
      <c r="X65" s="80"/>
      <c r="Y65" s="80" t="str">
        <f>IF(OR(studentdata[[#This Row],[Evening 2025]]&lt;&gt;""),"Yes","")</f>
        <v/>
      </c>
      <c r="Z65" s="80"/>
      <c r="AA65" s="80"/>
      <c r="AB65" s="80" t="str">
        <f>IF(OR(studentdata[[#This Row],[Weekend 2025 Enrolled]]="Yes",studentdata[[#This Row],[Evening 2025 Enrolled]]="Yes"),"Yes","")</f>
        <v/>
      </c>
    </row>
    <row r="66" spans="1:28" x14ac:dyDescent="0.25">
      <c r="A66" s="80">
        <v>5</v>
      </c>
      <c r="C66" s="67" t="s">
        <v>390</v>
      </c>
      <c r="D66" s="67" t="s">
        <v>68</v>
      </c>
      <c r="E66" s="67" t="s">
        <v>69</v>
      </c>
      <c r="F66" s="67">
        <v>48091</v>
      </c>
      <c r="I66" s="67"/>
      <c r="J66" s="67"/>
      <c r="M66" s="80">
        <v>65</v>
      </c>
      <c r="N66" s="67" t="s">
        <v>391</v>
      </c>
      <c r="O66" s="80">
        <v>38</v>
      </c>
      <c r="P66" s="67" t="s">
        <v>392</v>
      </c>
      <c r="Q66" s="67">
        <v>19177698123</v>
      </c>
      <c r="R66" s="67" t="s">
        <v>393</v>
      </c>
      <c r="S66" s="67">
        <v>17186501535</v>
      </c>
      <c r="T66" s="80" t="s">
        <v>56</v>
      </c>
      <c r="U66" s="80" t="s">
        <v>171</v>
      </c>
      <c r="V66" s="177" t="s">
        <v>48</v>
      </c>
      <c r="W66" s="80" t="str">
        <f>IF(OR(studentdata[[#This Row],[Weekend 2025]]&lt;&gt;""),"Yes","")</f>
        <v>Yes</v>
      </c>
      <c r="X66" s="80">
        <v>10</v>
      </c>
      <c r="Y66" s="80" t="str">
        <f>IF(OR(studentdata[[#This Row],[Evening 2025]]&lt;&gt;""),"Yes","")</f>
        <v/>
      </c>
      <c r="Z66" s="80"/>
      <c r="AA66" s="80"/>
      <c r="AB66" s="80" t="str">
        <f>IF(OR(studentdata[[#This Row],[Weekend 2025 Enrolled]]="Yes",studentdata[[#This Row],[Evening 2025 Enrolled]]="Yes"),"Yes","")</f>
        <v>Yes</v>
      </c>
    </row>
    <row r="67" spans="1:28" x14ac:dyDescent="0.25">
      <c r="A67" s="80">
        <v>12</v>
      </c>
      <c r="C67" s="67" t="s">
        <v>221</v>
      </c>
      <c r="D67" s="67" t="s">
        <v>68</v>
      </c>
      <c r="E67" s="67" t="s">
        <v>69</v>
      </c>
      <c r="F67" s="67">
        <v>48093</v>
      </c>
      <c r="I67" s="67"/>
      <c r="J67" s="67"/>
      <c r="M67" s="80">
        <v>66</v>
      </c>
      <c r="N67" s="67" t="s">
        <v>351</v>
      </c>
      <c r="O67" s="80">
        <v>39</v>
      </c>
      <c r="P67" s="67" t="s">
        <v>223</v>
      </c>
      <c r="Q67" s="67">
        <v>13132814155</v>
      </c>
      <c r="R67" s="67" t="s">
        <v>224</v>
      </c>
      <c r="S67" s="67">
        <v>15615740476</v>
      </c>
      <c r="T67" s="80" t="s">
        <v>56</v>
      </c>
      <c r="U67" s="80" t="s">
        <v>61</v>
      </c>
      <c r="V67" s="177">
        <v>4</v>
      </c>
      <c r="W67" s="80" t="str">
        <f>IF(OR(studentdata[[#This Row],[Weekend 2025]]&lt;&gt;""),"Yes","")</f>
        <v>Yes</v>
      </c>
      <c r="X67" s="80">
        <v>9</v>
      </c>
      <c r="Y67" s="80" t="str">
        <f>IF(OR(studentdata[[#This Row],[Evening 2025]]&lt;&gt;""),"Yes","")</f>
        <v/>
      </c>
      <c r="Z67" s="80"/>
      <c r="AA67" s="80"/>
      <c r="AB67" s="80" t="str">
        <f>IF(OR(studentdata[[#This Row],[Weekend 2025 Enrolled]]="Yes",studentdata[[#This Row],[Evening 2025 Enrolled]]="Yes"),"Yes","")</f>
        <v>Yes</v>
      </c>
    </row>
    <row r="68" spans="1:28" x14ac:dyDescent="0.25">
      <c r="A68" s="80">
        <v>8</v>
      </c>
      <c r="C68" s="67" t="s">
        <v>221</v>
      </c>
      <c r="D68" s="67" t="s">
        <v>68</v>
      </c>
      <c r="E68" s="67" t="s">
        <v>69</v>
      </c>
      <c r="F68" s="67">
        <v>48093</v>
      </c>
      <c r="I68" s="67"/>
      <c r="J68" s="67"/>
      <c r="M68" s="80">
        <v>67</v>
      </c>
      <c r="N68" s="67" t="s">
        <v>222</v>
      </c>
      <c r="O68" s="80">
        <v>39</v>
      </c>
      <c r="P68" s="67" t="s">
        <v>223</v>
      </c>
      <c r="Q68" s="67">
        <v>13132814155</v>
      </c>
      <c r="R68" s="67" t="s">
        <v>224</v>
      </c>
      <c r="S68" s="67">
        <v>15615740476</v>
      </c>
      <c r="T68" s="80" t="s">
        <v>56</v>
      </c>
      <c r="U68" s="80" t="s">
        <v>95</v>
      </c>
      <c r="V68" s="177">
        <v>2</v>
      </c>
      <c r="W68" s="80" t="str">
        <f>IF(OR(studentdata[[#This Row],[Weekend 2025]]&lt;&gt;""),"Yes","")</f>
        <v>Yes</v>
      </c>
      <c r="X68" s="80">
        <v>7</v>
      </c>
      <c r="Y68" s="80" t="str">
        <f>IF(OR(studentdata[[#This Row],[Evening 2025]]&lt;&gt;""),"Yes","")</f>
        <v/>
      </c>
      <c r="Z68" s="80"/>
      <c r="AA68" s="80"/>
      <c r="AB68" s="80" t="str">
        <f>IF(OR(studentdata[[#This Row],[Weekend 2025 Enrolled]]="Yes",studentdata[[#This Row],[Evening 2025 Enrolled]]="Yes"),"Yes","")</f>
        <v>Yes</v>
      </c>
    </row>
    <row r="69" spans="1:28" x14ac:dyDescent="0.25">
      <c r="A69" s="80">
        <v>5</v>
      </c>
      <c r="C69" s="67" t="s">
        <v>221</v>
      </c>
      <c r="D69" s="67" t="s">
        <v>68</v>
      </c>
      <c r="E69" s="67" t="s">
        <v>69</v>
      </c>
      <c r="F69" s="67">
        <v>48093</v>
      </c>
      <c r="I69" s="67"/>
      <c r="J69" s="67"/>
      <c r="M69" s="80">
        <v>68</v>
      </c>
      <c r="N69" s="67" t="s">
        <v>381</v>
      </c>
      <c r="O69" s="80">
        <v>39</v>
      </c>
      <c r="P69" s="67" t="s">
        <v>223</v>
      </c>
      <c r="Q69" s="67">
        <v>13132814155</v>
      </c>
      <c r="R69" s="67" t="s">
        <v>224</v>
      </c>
      <c r="S69" s="67">
        <v>15615740476</v>
      </c>
      <c r="T69" s="80" t="s">
        <v>56</v>
      </c>
      <c r="U69" s="80" t="s">
        <v>171</v>
      </c>
      <c r="V69" s="177" t="s">
        <v>48</v>
      </c>
      <c r="W69" s="80" t="str">
        <f>IF(OR(studentdata[[#This Row],[Weekend 2025]]&lt;&gt;""),"Yes","")</f>
        <v>Yes</v>
      </c>
      <c r="X69" s="80">
        <v>4</v>
      </c>
      <c r="Y69" s="80" t="str">
        <f>IF(OR(studentdata[[#This Row],[Evening 2025]]&lt;&gt;""),"Yes","")</f>
        <v/>
      </c>
      <c r="Z69" s="80"/>
      <c r="AA69" s="80"/>
      <c r="AB69" s="80" t="str">
        <f>IF(OR(studentdata[[#This Row],[Weekend 2025 Enrolled]]="Yes",studentdata[[#This Row],[Evening 2025 Enrolled]]="Yes"),"Yes","")</f>
        <v>Yes</v>
      </c>
    </row>
    <row r="70" spans="1:28" x14ac:dyDescent="0.25">
      <c r="A70" s="80">
        <v>7</v>
      </c>
      <c r="B70" s="67">
        <v>3</v>
      </c>
      <c r="C70" s="67" t="s">
        <v>121</v>
      </c>
      <c r="D70" s="67" t="s">
        <v>68</v>
      </c>
      <c r="E70" s="67" t="s">
        <v>69</v>
      </c>
      <c r="F70" s="67">
        <v>48091</v>
      </c>
      <c r="G70" s="67" t="s">
        <v>122</v>
      </c>
      <c r="I70" s="67"/>
      <c r="J70" s="67"/>
      <c r="M70" s="80">
        <v>69</v>
      </c>
      <c r="N70" s="88" t="s">
        <v>119</v>
      </c>
      <c r="O70" s="80">
        <v>40</v>
      </c>
      <c r="P70" s="67" t="s">
        <v>120</v>
      </c>
      <c r="Q70" s="67">
        <v>16464794711</v>
      </c>
      <c r="T70" s="80" t="s">
        <v>56</v>
      </c>
      <c r="U70" s="80" t="s">
        <v>95</v>
      </c>
      <c r="V70" s="177">
        <v>2</v>
      </c>
      <c r="W70" s="80" t="str">
        <f>IF(OR(studentdata[[#This Row],[Weekend 2025]]&lt;&gt;""),"Yes","")</f>
        <v>Yes</v>
      </c>
      <c r="X70" s="80">
        <v>2</v>
      </c>
      <c r="Y70" s="80" t="str">
        <f>IF(OR(studentdata[[#This Row],[Evening 2025]]&lt;&gt;""),"Yes","")</f>
        <v>Yes</v>
      </c>
      <c r="Z70" s="80">
        <v>5</v>
      </c>
      <c r="AA70" s="80"/>
      <c r="AB70" s="80" t="str">
        <f>IF(OR(studentdata[[#This Row],[Weekend 2025 Enrolled]]="Yes",studentdata[[#This Row],[Evening 2025 Enrolled]]="Yes"),"Yes","")</f>
        <v>Yes</v>
      </c>
    </row>
    <row r="71" spans="1:28" x14ac:dyDescent="0.25">
      <c r="A71" s="80">
        <v>7</v>
      </c>
      <c r="B71" s="67">
        <v>2</v>
      </c>
      <c r="C71" s="67" t="s">
        <v>950</v>
      </c>
      <c r="D71" s="67" t="s">
        <v>68</v>
      </c>
      <c r="E71" s="67" t="s">
        <v>69</v>
      </c>
      <c r="F71" s="67">
        <v>48092</v>
      </c>
      <c r="G71" s="67" t="s">
        <v>951</v>
      </c>
      <c r="H71" s="67" t="s">
        <v>952</v>
      </c>
      <c r="I71" s="67" t="s">
        <v>165</v>
      </c>
      <c r="J71" s="67">
        <v>12483150164</v>
      </c>
      <c r="K71" s="67">
        <v>12483150164</v>
      </c>
      <c r="M71" s="80">
        <v>70</v>
      </c>
      <c r="N71" s="88" t="s">
        <v>953</v>
      </c>
      <c r="O71" s="80">
        <v>41</v>
      </c>
      <c r="P71" s="67" t="s">
        <v>954</v>
      </c>
      <c r="Q71" s="67">
        <v>19176034391</v>
      </c>
      <c r="R71" s="67" t="s">
        <v>955</v>
      </c>
      <c r="S71" s="67">
        <v>13133033460</v>
      </c>
      <c r="T71" s="80" t="s">
        <v>46</v>
      </c>
      <c r="U71" s="80" t="s">
        <v>80</v>
      </c>
      <c r="V71" s="177"/>
      <c r="W71" s="80" t="str">
        <f>IF(OR(studentdata[[#This Row],[Weekend 2025]]&lt;&gt;""),"Yes","")</f>
        <v/>
      </c>
      <c r="X71" s="80"/>
      <c r="Y71" s="80" t="str">
        <f>IF(OR(studentdata[[#This Row],[Evening 2025]]&lt;&gt;""),"Yes","")</f>
        <v/>
      </c>
      <c r="Z71" s="80"/>
      <c r="AA71" s="80"/>
      <c r="AB71" s="80" t="str">
        <f>IF(OR(studentdata[[#This Row],[Weekend 2025 Enrolled]]="Yes",studentdata[[#This Row],[Evening 2025 Enrolled]]="Yes"),"Yes","")</f>
        <v/>
      </c>
    </row>
    <row r="72" spans="1:28" x14ac:dyDescent="0.25">
      <c r="A72" s="80">
        <v>13</v>
      </c>
      <c r="C72" s="67" t="s">
        <v>287</v>
      </c>
      <c r="D72" s="67" t="s">
        <v>68</v>
      </c>
      <c r="E72" s="67" t="s">
        <v>69</v>
      </c>
      <c r="F72" s="67">
        <v>48091</v>
      </c>
      <c r="I72" s="67"/>
      <c r="J72" s="67"/>
      <c r="M72" s="80">
        <v>71</v>
      </c>
      <c r="N72" s="67" t="s">
        <v>288</v>
      </c>
      <c r="O72" s="80">
        <v>42</v>
      </c>
      <c r="P72" s="67" t="s">
        <v>289</v>
      </c>
      <c r="Q72" s="67">
        <v>13134551008</v>
      </c>
      <c r="R72" s="67" t="s">
        <v>290</v>
      </c>
      <c r="S72" s="67">
        <v>15864576704</v>
      </c>
      <c r="T72" s="80" t="s">
        <v>56</v>
      </c>
      <c r="U72" s="80" t="s">
        <v>109</v>
      </c>
      <c r="V72" s="177">
        <v>3</v>
      </c>
      <c r="W72" s="80" t="str">
        <f>IF(OR(studentdata[[#This Row],[Weekend 2025]]&lt;&gt;""),"Yes","")</f>
        <v>Yes</v>
      </c>
      <c r="X72" s="80">
        <v>7</v>
      </c>
      <c r="Y72" s="80" t="str">
        <f>IF(OR(studentdata[[#This Row],[Evening 2025]]&lt;&gt;""),"Yes","")</f>
        <v/>
      </c>
      <c r="Z72" s="80"/>
      <c r="AA72" s="80"/>
      <c r="AB72" s="80" t="str">
        <f>IF(OR(studentdata[[#This Row],[Weekend 2025 Enrolled]]="Yes",studentdata[[#This Row],[Evening 2025 Enrolled]]="Yes"),"Yes","")</f>
        <v>Yes</v>
      </c>
    </row>
    <row r="73" spans="1:28" x14ac:dyDescent="0.25">
      <c r="A73" s="80">
        <v>10</v>
      </c>
      <c r="B73" s="67" t="s">
        <v>278</v>
      </c>
      <c r="C73" s="67" t="s">
        <v>287</v>
      </c>
      <c r="D73" s="67" t="s">
        <v>68</v>
      </c>
      <c r="E73" s="67" t="s">
        <v>69</v>
      </c>
      <c r="F73" s="67">
        <v>48091</v>
      </c>
      <c r="I73" s="67"/>
      <c r="J73" s="67"/>
      <c r="M73" s="80">
        <v>72</v>
      </c>
      <c r="N73" s="67" t="s">
        <v>651</v>
      </c>
      <c r="O73" s="80">
        <v>42</v>
      </c>
      <c r="P73" s="67" t="s">
        <v>289</v>
      </c>
      <c r="Q73" s="67">
        <v>13134551008</v>
      </c>
      <c r="R73" s="67" t="s">
        <v>290</v>
      </c>
      <c r="S73" s="67">
        <v>15864576704</v>
      </c>
      <c r="T73" s="80" t="s">
        <v>46</v>
      </c>
      <c r="U73" s="80" t="s">
        <v>52</v>
      </c>
      <c r="V73" s="177" t="s">
        <v>137</v>
      </c>
      <c r="W73" s="80" t="str">
        <f>IF(OR(studentdata[[#This Row],[Weekend 2025]]&lt;&gt;""),"Yes","")</f>
        <v>Yes</v>
      </c>
      <c r="X73" s="80">
        <v>10</v>
      </c>
      <c r="Y73" s="80" t="str">
        <f>IF(OR(studentdata[[#This Row],[Evening 2025]]&lt;&gt;""),"Yes","")</f>
        <v/>
      </c>
      <c r="Z73" s="80"/>
      <c r="AA73" s="80"/>
      <c r="AB73" s="80" t="str">
        <f>IF(OR(studentdata[[#This Row],[Weekend 2025 Enrolled]]="Yes",studentdata[[#This Row],[Evening 2025 Enrolled]]="Yes"),"Yes","")</f>
        <v>Yes</v>
      </c>
    </row>
    <row r="74" spans="1:28" x14ac:dyDescent="0.25">
      <c r="A74" s="80">
        <v>5</v>
      </c>
      <c r="C74" s="67" t="s">
        <v>956</v>
      </c>
      <c r="D74" s="67" t="s">
        <v>68</v>
      </c>
      <c r="E74" s="67" t="s">
        <v>69</v>
      </c>
      <c r="F74" s="67">
        <v>48091</v>
      </c>
      <c r="G74" s="67" t="s">
        <v>957</v>
      </c>
      <c r="I74" s="67"/>
      <c r="J74" s="67"/>
      <c r="M74" s="80">
        <v>73</v>
      </c>
      <c r="N74" s="67" t="s">
        <v>958</v>
      </c>
      <c r="O74" s="80">
        <v>43</v>
      </c>
      <c r="P74" s="67" t="s">
        <v>959</v>
      </c>
      <c r="Q74" s="67">
        <v>14074741925</v>
      </c>
      <c r="R74" s="67" t="s">
        <v>960</v>
      </c>
      <c r="S74" s="67">
        <v>14074741926</v>
      </c>
      <c r="T74" s="80" t="s">
        <v>46</v>
      </c>
      <c r="U74" s="80" t="s">
        <v>171</v>
      </c>
      <c r="V74" s="177"/>
      <c r="W74" s="80" t="str">
        <f>IF(OR(studentdata[[#This Row],[Weekend 2025]]&lt;&gt;""),"Yes","")</f>
        <v/>
      </c>
      <c r="X74" s="80"/>
      <c r="Y74" s="80" t="str">
        <f>IF(OR(studentdata[[#This Row],[Evening 2025]]&lt;&gt;""),"Yes","")</f>
        <v/>
      </c>
      <c r="Z74" s="80"/>
      <c r="AA74" s="80"/>
      <c r="AB74" s="80" t="str">
        <f>IF(OR(studentdata[[#This Row],[Weekend 2025 Enrolled]]="Yes",studentdata[[#This Row],[Evening 2025 Enrolled]]="Yes"),"Yes","")</f>
        <v/>
      </c>
    </row>
    <row r="75" spans="1:28" x14ac:dyDescent="0.25">
      <c r="A75" s="80">
        <v>8</v>
      </c>
      <c r="C75" s="67" t="s">
        <v>513</v>
      </c>
      <c r="D75" s="67" t="s">
        <v>68</v>
      </c>
      <c r="E75" s="67" t="s">
        <v>69</v>
      </c>
      <c r="F75" s="67">
        <v>48091</v>
      </c>
      <c r="G75" s="67" t="s">
        <v>514</v>
      </c>
      <c r="I75" s="67"/>
      <c r="J75" s="67"/>
      <c r="M75" s="80">
        <v>74</v>
      </c>
      <c r="N75" s="67" t="s">
        <v>515</v>
      </c>
      <c r="O75" s="80">
        <v>44</v>
      </c>
      <c r="P75" s="67" t="s">
        <v>516</v>
      </c>
      <c r="Q75" s="67">
        <v>13134547974</v>
      </c>
      <c r="T75" s="80" t="s">
        <v>46</v>
      </c>
      <c r="U75" s="80" t="s">
        <v>95</v>
      </c>
      <c r="V75" s="177">
        <v>2</v>
      </c>
      <c r="W75" s="80" t="str">
        <f>IF(OR(studentdata[[#This Row],[Weekend 2025]]&lt;&gt;""),"Yes","")</f>
        <v>Yes</v>
      </c>
      <c r="X75" s="80">
        <v>5</v>
      </c>
      <c r="Y75" s="80" t="str">
        <f>IF(OR(studentdata[[#This Row],[Evening 2025]]&lt;&gt;""),"Yes","")</f>
        <v/>
      </c>
      <c r="Z75" s="80"/>
      <c r="AA75" s="80"/>
      <c r="AB75" s="80" t="str">
        <f>IF(OR(studentdata[[#This Row],[Weekend 2025 Enrolled]]="Yes",studentdata[[#This Row],[Evening 2025 Enrolled]]="Yes"),"Yes","")</f>
        <v>Yes</v>
      </c>
    </row>
    <row r="76" spans="1:28" x14ac:dyDescent="0.25">
      <c r="A76" s="80">
        <v>11</v>
      </c>
      <c r="C76" s="67" t="s">
        <v>961</v>
      </c>
      <c r="D76" s="67" t="s">
        <v>68</v>
      </c>
      <c r="E76" s="67" t="s">
        <v>69</v>
      </c>
      <c r="F76" s="67">
        <v>48015</v>
      </c>
      <c r="I76" s="67" t="s">
        <v>101</v>
      </c>
      <c r="J76" s="67">
        <v>19294344782</v>
      </c>
      <c r="M76" s="80">
        <v>75</v>
      </c>
      <c r="N76" s="67" t="s">
        <v>962</v>
      </c>
      <c r="O76" s="80">
        <v>45</v>
      </c>
      <c r="P76" s="67" t="s">
        <v>963</v>
      </c>
      <c r="R76" s="67" t="s">
        <v>964</v>
      </c>
      <c r="T76" s="80" t="s">
        <v>46</v>
      </c>
      <c r="U76" s="80" t="s">
        <v>156</v>
      </c>
      <c r="V76" s="177"/>
      <c r="W76" s="80" t="str">
        <f>IF(OR(studentdata[[#This Row],[Weekend 2025]]&lt;&gt;""),"Yes","")</f>
        <v/>
      </c>
      <c r="X76" s="80"/>
      <c r="Y76" s="80" t="str">
        <f>IF(OR(studentdata[[#This Row],[Evening 2025]]&lt;&gt;""),"Yes","")</f>
        <v/>
      </c>
      <c r="Z76" s="80"/>
      <c r="AA76" s="80"/>
      <c r="AB76" s="80" t="str">
        <f>IF(OR(studentdata[[#This Row],[Weekend 2025 Enrolled]]="Yes",studentdata[[#This Row],[Evening 2025 Enrolled]]="Yes"),"Yes","")</f>
        <v/>
      </c>
    </row>
    <row r="77" spans="1:28" x14ac:dyDescent="0.25">
      <c r="A77" s="80">
        <v>7</v>
      </c>
      <c r="B77" s="67" t="s">
        <v>239</v>
      </c>
      <c r="C77" s="67" t="s">
        <v>965</v>
      </c>
      <c r="D77" s="67" t="s">
        <v>68</v>
      </c>
      <c r="E77" s="67" t="s">
        <v>69</v>
      </c>
      <c r="F77" s="67">
        <v>48092</v>
      </c>
      <c r="G77" s="67" t="s">
        <v>951</v>
      </c>
      <c r="I77" s="67"/>
      <c r="J77" s="67"/>
      <c r="M77" s="80">
        <v>76</v>
      </c>
      <c r="N77" s="88" t="s">
        <v>966</v>
      </c>
      <c r="O77" s="80">
        <v>46</v>
      </c>
      <c r="P77" s="67" t="s">
        <v>954</v>
      </c>
      <c r="Q77" s="67">
        <v>19176034391</v>
      </c>
      <c r="R77" s="67" t="s">
        <v>955</v>
      </c>
      <c r="S77" s="67">
        <v>13133033460</v>
      </c>
      <c r="T77" s="80" t="s">
        <v>46</v>
      </c>
      <c r="U77" s="80" t="s">
        <v>80</v>
      </c>
      <c r="V77" s="177"/>
      <c r="W77" s="80" t="str">
        <f>IF(OR(studentdata[[#This Row],[Weekend 2025]]&lt;&gt;""),"Yes","")</f>
        <v/>
      </c>
      <c r="X77" s="80"/>
      <c r="Y77" s="80" t="str">
        <f>IF(OR(studentdata[[#This Row],[Evening 2025]]&lt;&gt;""),"Yes","")</f>
        <v/>
      </c>
      <c r="Z77" s="80"/>
      <c r="AA77" s="80"/>
      <c r="AB77" s="80" t="str">
        <f>IF(OR(studentdata[[#This Row],[Weekend 2025 Enrolled]]="Yes",studentdata[[#This Row],[Evening 2025 Enrolled]]="Yes"),"Yes","")</f>
        <v/>
      </c>
    </row>
    <row r="78" spans="1:28" x14ac:dyDescent="0.25">
      <c r="A78" s="80">
        <v>14</v>
      </c>
      <c r="C78" s="67" t="s">
        <v>967</v>
      </c>
      <c r="D78" s="67" t="s">
        <v>68</v>
      </c>
      <c r="E78" s="67" t="s">
        <v>69</v>
      </c>
      <c r="F78" s="67">
        <v>48091</v>
      </c>
      <c r="I78" s="67"/>
      <c r="J78" s="67"/>
      <c r="M78" s="80">
        <v>77</v>
      </c>
      <c r="N78" s="67" t="s">
        <v>968</v>
      </c>
      <c r="O78" s="80">
        <v>47</v>
      </c>
      <c r="P78" s="67" t="s">
        <v>969</v>
      </c>
      <c r="Q78" s="67">
        <v>15864574646</v>
      </c>
      <c r="R78" s="67" t="s">
        <v>970</v>
      </c>
      <c r="S78" s="67">
        <v>13137079953</v>
      </c>
      <c r="T78" s="80" t="s">
        <v>46</v>
      </c>
      <c r="U78" s="80" t="s">
        <v>199</v>
      </c>
      <c r="V78" s="177"/>
      <c r="W78" s="80" t="str">
        <f>IF(OR(studentdata[[#This Row],[Weekend 2025]]&lt;&gt;""),"Yes","")</f>
        <v/>
      </c>
      <c r="X78" s="80"/>
      <c r="Y78" s="80" t="str">
        <f>IF(OR(studentdata[[#This Row],[Evening 2025]]&lt;&gt;""),"Yes","")</f>
        <v/>
      </c>
      <c r="Z78" s="80"/>
      <c r="AA78" s="80"/>
      <c r="AB78" s="80" t="str">
        <f>IF(OR(studentdata[[#This Row],[Weekend 2025 Enrolled]]="Yes",studentdata[[#This Row],[Evening 2025 Enrolled]]="Yes"),"Yes","")</f>
        <v/>
      </c>
    </row>
    <row r="79" spans="1:28" x14ac:dyDescent="0.25">
      <c r="A79" s="80">
        <v>10</v>
      </c>
      <c r="C79" s="67" t="s">
        <v>967</v>
      </c>
      <c r="D79" s="67" t="s">
        <v>68</v>
      </c>
      <c r="E79" s="67" t="s">
        <v>69</v>
      </c>
      <c r="F79" s="67">
        <v>48091</v>
      </c>
      <c r="I79" s="67"/>
      <c r="J79" s="67"/>
      <c r="M79" s="80">
        <v>78</v>
      </c>
      <c r="N79" s="67" t="s">
        <v>971</v>
      </c>
      <c r="O79" s="80">
        <v>47</v>
      </c>
      <c r="P79" s="67" t="s">
        <v>969</v>
      </c>
      <c r="Q79" s="67">
        <v>15864574646</v>
      </c>
      <c r="R79" s="67" t="s">
        <v>970</v>
      </c>
      <c r="S79" s="67">
        <v>13137079953</v>
      </c>
      <c r="T79" s="80" t="s">
        <v>46</v>
      </c>
      <c r="U79" s="80" t="s">
        <v>156</v>
      </c>
      <c r="V79" s="177"/>
      <c r="W79" s="80" t="str">
        <f>IF(OR(studentdata[[#This Row],[Weekend 2025]]&lt;&gt;""),"Yes","")</f>
        <v/>
      </c>
      <c r="X79" s="80"/>
      <c r="Y79" s="80" t="str">
        <f>IF(OR(studentdata[[#This Row],[Evening 2025]]&lt;&gt;""),"Yes","")</f>
        <v/>
      </c>
      <c r="Z79" s="80"/>
      <c r="AA79" s="80"/>
      <c r="AB79" s="80" t="str">
        <f>IF(OR(studentdata[[#This Row],[Weekend 2025 Enrolled]]="Yes",studentdata[[#This Row],[Evening 2025 Enrolled]]="Yes"),"Yes","")</f>
        <v/>
      </c>
    </row>
    <row r="80" spans="1:28" x14ac:dyDescent="0.25">
      <c r="A80" s="80">
        <v>9</v>
      </c>
      <c r="C80" s="67" t="s">
        <v>967</v>
      </c>
      <c r="D80" s="67" t="s">
        <v>68</v>
      </c>
      <c r="E80" s="67" t="s">
        <v>69</v>
      </c>
      <c r="F80" s="67">
        <v>48091</v>
      </c>
      <c r="I80" s="67"/>
      <c r="J80" s="67"/>
      <c r="M80" s="80">
        <v>79</v>
      </c>
      <c r="N80" s="67" t="s">
        <v>972</v>
      </c>
      <c r="O80" s="80">
        <v>47</v>
      </c>
      <c r="P80" s="67" t="s">
        <v>969</v>
      </c>
      <c r="Q80" s="67">
        <v>15864574646</v>
      </c>
      <c r="R80" s="67" t="s">
        <v>970</v>
      </c>
      <c r="S80" s="67">
        <v>13137079953</v>
      </c>
      <c r="T80" s="80" t="s">
        <v>46</v>
      </c>
      <c r="U80" s="80" t="s">
        <v>52</v>
      </c>
      <c r="V80" s="177"/>
      <c r="W80" s="80" t="str">
        <f>IF(OR(studentdata[[#This Row],[Weekend 2025]]&lt;&gt;""),"Yes","")</f>
        <v/>
      </c>
      <c r="X80" s="80"/>
      <c r="Y80" s="80" t="str">
        <f>IF(OR(studentdata[[#This Row],[Evening 2025]]&lt;&gt;""),"Yes","")</f>
        <v/>
      </c>
      <c r="Z80" s="80"/>
      <c r="AA80" s="80"/>
      <c r="AB80" s="80" t="str">
        <f>IF(OR(studentdata[[#This Row],[Weekend 2025 Enrolled]]="Yes",studentdata[[#This Row],[Evening 2025 Enrolled]]="Yes"),"Yes","")</f>
        <v/>
      </c>
    </row>
    <row r="81" spans="1:28" x14ac:dyDescent="0.25">
      <c r="A81" s="80">
        <v>8</v>
      </c>
      <c r="C81" s="67" t="s">
        <v>967</v>
      </c>
      <c r="D81" s="67" t="s">
        <v>68</v>
      </c>
      <c r="E81" s="67" t="s">
        <v>69</v>
      </c>
      <c r="F81" s="67">
        <v>48091</v>
      </c>
      <c r="I81" s="67"/>
      <c r="J81" s="67"/>
      <c r="M81" s="80">
        <v>80</v>
      </c>
      <c r="N81" s="67" t="s">
        <v>973</v>
      </c>
      <c r="O81" s="80">
        <v>47</v>
      </c>
      <c r="P81" s="67" t="s">
        <v>969</v>
      </c>
      <c r="Q81" s="67">
        <v>15864574646</v>
      </c>
      <c r="R81" s="67" t="s">
        <v>970</v>
      </c>
      <c r="S81" s="67">
        <v>13137079953</v>
      </c>
      <c r="T81" s="80" t="s">
        <v>46</v>
      </c>
      <c r="U81" s="80" t="s">
        <v>80</v>
      </c>
      <c r="V81" s="177"/>
      <c r="W81" s="80" t="str">
        <f>IF(OR(studentdata[[#This Row],[Weekend 2025]]&lt;&gt;""),"Yes","")</f>
        <v/>
      </c>
      <c r="X81" s="80"/>
      <c r="Y81" s="80" t="str">
        <f>IF(OR(studentdata[[#This Row],[Evening 2025]]&lt;&gt;""),"Yes","")</f>
        <v/>
      </c>
      <c r="Z81" s="80"/>
      <c r="AA81" s="80"/>
      <c r="AB81" s="80" t="str">
        <f>IF(OR(studentdata[[#This Row],[Weekend 2025 Enrolled]]="Yes",studentdata[[#This Row],[Evening 2025 Enrolled]]="Yes"),"Yes","")</f>
        <v/>
      </c>
    </row>
    <row r="82" spans="1:28" x14ac:dyDescent="0.25">
      <c r="A82" s="80">
        <v>8</v>
      </c>
      <c r="B82" s="67">
        <v>2</v>
      </c>
      <c r="C82" s="67" t="s">
        <v>526</v>
      </c>
      <c r="D82" s="67" t="s">
        <v>68</v>
      </c>
      <c r="E82" s="67" t="s">
        <v>69</v>
      </c>
      <c r="F82" s="67">
        <v>48081</v>
      </c>
      <c r="I82" s="67"/>
      <c r="J82" s="67"/>
      <c r="M82" s="80">
        <v>81</v>
      </c>
      <c r="N82" s="67" t="s">
        <v>527</v>
      </c>
      <c r="O82" s="80">
        <v>48</v>
      </c>
      <c r="P82" s="67" t="s">
        <v>528</v>
      </c>
      <c r="Q82" s="67">
        <v>15868732226</v>
      </c>
      <c r="R82" s="67" t="s">
        <v>529</v>
      </c>
      <c r="T82" s="80" t="s">
        <v>46</v>
      </c>
      <c r="U82" s="80" t="s">
        <v>95</v>
      </c>
      <c r="V82" s="177">
        <v>2</v>
      </c>
      <c r="W82" s="80" t="str">
        <f>IF(OR(studentdata[[#This Row],[Weekend 2025]]&lt;&gt;""),"Yes","")</f>
        <v>Yes</v>
      </c>
      <c r="X82" s="80">
        <v>9</v>
      </c>
      <c r="Y82" s="80" t="str">
        <f>IF(OR(studentdata[[#This Row],[Evening 2025]]&lt;&gt;""),"Yes","")</f>
        <v/>
      </c>
      <c r="Z82" s="80"/>
      <c r="AA82" s="80"/>
      <c r="AB82" s="80" t="str">
        <f>IF(OR(studentdata[[#This Row],[Weekend 2025 Enrolled]]="Yes",studentdata[[#This Row],[Evening 2025 Enrolled]]="Yes"),"Yes","")</f>
        <v>Yes</v>
      </c>
    </row>
    <row r="83" spans="1:28" x14ac:dyDescent="0.25">
      <c r="A83" s="80">
        <v>6</v>
      </c>
      <c r="B83" s="67" t="s">
        <v>45</v>
      </c>
      <c r="C83" s="67" t="s">
        <v>496</v>
      </c>
      <c r="D83" s="67" t="s">
        <v>68</v>
      </c>
      <c r="E83" s="67" t="s">
        <v>69</v>
      </c>
      <c r="F83" s="67">
        <v>48092</v>
      </c>
      <c r="I83" s="67"/>
      <c r="J83" s="67"/>
      <c r="M83" s="80">
        <v>82</v>
      </c>
      <c r="N83" s="67" t="s">
        <v>639</v>
      </c>
      <c r="O83" s="80">
        <v>49</v>
      </c>
      <c r="P83" s="67" t="s">
        <v>498</v>
      </c>
      <c r="Q83" s="67">
        <v>13134556417</v>
      </c>
      <c r="R83" s="67" t="s">
        <v>499</v>
      </c>
      <c r="S83" s="67">
        <v>15864577859</v>
      </c>
      <c r="T83" s="80" t="s">
        <v>46</v>
      </c>
      <c r="U83" s="80" t="s">
        <v>171</v>
      </c>
      <c r="V83" s="177" t="s">
        <v>48</v>
      </c>
      <c r="W83" s="80" t="str">
        <f>IF(OR(studentdata[[#This Row],[Weekend 2025]]&lt;&gt;""),"Yes","")</f>
        <v>Yes</v>
      </c>
      <c r="X83" s="80">
        <v>16</v>
      </c>
      <c r="Y83" s="80" t="str">
        <f>IF(OR(studentdata[[#This Row],[Evening 2025]]&lt;&gt;""),"Yes","")</f>
        <v/>
      </c>
      <c r="Z83" s="80"/>
      <c r="AA83" s="80"/>
      <c r="AB83" s="80" t="str">
        <f>IF(OR(studentdata[[#This Row],[Weekend 2025 Enrolled]]="Yes",studentdata[[#This Row],[Evening 2025 Enrolled]]="Yes"),"Yes","")</f>
        <v>Yes</v>
      </c>
    </row>
    <row r="84" spans="1:28" x14ac:dyDescent="0.25">
      <c r="A84" s="80">
        <v>10</v>
      </c>
      <c r="B84" s="67" t="s">
        <v>45</v>
      </c>
      <c r="C84" s="67" t="s">
        <v>496</v>
      </c>
      <c r="D84" s="67" t="s">
        <v>68</v>
      </c>
      <c r="E84" s="67" t="s">
        <v>69</v>
      </c>
      <c r="F84" s="67">
        <v>48092</v>
      </c>
      <c r="I84" s="67"/>
      <c r="J84" s="67"/>
      <c r="M84" s="80">
        <v>83</v>
      </c>
      <c r="N84" s="67" t="s">
        <v>497</v>
      </c>
      <c r="O84" s="80">
        <v>49</v>
      </c>
      <c r="P84" s="67" t="s">
        <v>498</v>
      </c>
      <c r="Q84" s="67">
        <v>13134556417</v>
      </c>
      <c r="R84" s="67" t="s">
        <v>499</v>
      </c>
      <c r="S84" s="67">
        <v>15864577859</v>
      </c>
      <c r="T84" s="80" t="s">
        <v>56</v>
      </c>
      <c r="U84" s="80" t="s">
        <v>85</v>
      </c>
      <c r="V84" s="177" t="s">
        <v>142</v>
      </c>
      <c r="W84" s="80" t="str">
        <f>IF(OR(studentdata[[#This Row],[Weekend 2025]]&lt;&gt;""),"Yes","")</f>
        <v>Yes</v>
      </c>
      <c r="X84" s="80">
        <v>16</v>
      </c>
      <c r="Y84" s="80" t="str">
        <f>IF(OR(studentdata[[#This Row],[Evening 2025]]&lt;&gt;""),"Yes","")</f>
        <v/>
      </c>
      <c r="Z84" s="80"/>
      <c r="AA84" s="80"/>
      <c r="AB84" s="80" t="str">
        <f>IF(OR(studentdata[[#This Row],[Weekend 2025 Enrolled]]="Yes",studentdata[[#This Row],[Evening 2025 Enrolled]]="Yes"),"Yes","")</f>
        <v>Yes</v>
      </c>
    </row>
    <row r="85" spans="1:28" x14ac:dyDescent="0.25">
      <c r="A85" s="80">
        <v>10</v>
      </c>
      <c r="C85" s="67" t="s">
        <v>492</v>
      </c>
      <c r="D85" s="67" t="s">
        <v>68</v>
      </c>
      <c r="E85" s="67" t="s">
        <v>69</v>
      </c>
      <c r="F85" s="67">
        <v>48091</v>
      </c>
      <c r="I85" s="67"/>
      <c r="J85" s="67"/>
      <c r="M85" s="80">
        <v>84</v>
      </c>
      <c r="N85" s="67" t="s">
        <v>591</v>
      </c>
      <c r="O85" s="80">
        <v>50</v>
      </c>
      <c r="P85" s="67" t="s">
        <v>494</v>
      </c>
      <c r="Q85" s="67">
        <v>13138985118</v>
      </c>
      <c r="R85" s="67" t="s">
        <v>495</v>
      </c>
      <c r="S85" s="67">
        <v>15868225961</v>
      </c>
      <c r="T85" s="80" t="s">
        <v>46</v>
      </c>
      <c r="U85" s="80" t="s">
        <v>85</v>
      </c>
      <c r="V85" s="177">
        <v>4</v>
      </c>
      <c r="W85" s="80" t="str">
        <f>IF(OR(studentdata[[#This Row],[Weekend 2025]]&lt;&gt;""),"Yes","")</f>
        <v>Yes</v>
      </c>
      <c r="X85" s="80">
        <v>5</v>
      </c>
      <c r="Y85" s="80" t="str">
        <f>IF(OR(studentdata[[#This Row],[Evening 2025]]&lt;&gt;""),"Yes","")</f>
        <v/>
      </c>
      <c r="Z85" s="80"/>
      <c r="AA85" s="80"/>
      <c r="AB85" s="80" t="str">
        <f>IF(OR(studentdata[[#This Row],[Weekend 2025 Enrolled]]="Yes",studentdata[[#This Row],[Evening 2025 Enrolled]]="Yes"),"Yes","")</f>
        <v>Yes</v>
      </c>
    </row>
    <row r="86" spans="1:28" x14ac:dyDescent="0.25">
      <c r="A86" s="80">
        <v>5</v>
      </c>
      <c r="C86" s="67" t="s">
        <v>492</v>
      </c>
      <c r="D86" s="67" t="s">
        <v>68</v>
      </c>
      <c r="E86" s="67" t="s">
        <v>69</v>
      </c>
      <c r="F86" s="67">
        <v>48091</v>
      </c>
      <c r="I86" s="67"/>
      <c r="J86" s="67"/>
      <c r="M86" s="80">
        <v>85</v>
      </c>
      <c r="N86" s="67" t="s">
        <v>493</v>
      </c>
      <c r="O86" s="80">
        <v>50</v>
      </c>
      <c r="P86" s="67" t="s">
        <v>494</v>
      </c>
      <c r="Q86" s="67">
        <v>13138985118</v>
      </c>
      <c r="R86" s="67" t="s">
        <v>495</v>
      </c>
      <c r="S86" s="67">
        <v>15868225961</v>
      </c>
      <c r="T86" s="80" t="s">
        <v>56</v>
      </c>
      <c r="U86" s="80" t="s">
        <v>57</v>
      </c>
      <c r="V86" s="177" t="s">
        <v>142</v>
      </c>
      <c r="W86" s="80" t="str">
        <f>IF(OR(studentdata[[#This Row],[Weekend 2025]]&lt;&gt;""),"Yes","")</f>
        <v>Yes</v>
      </c>
      <c r="X86" s="80">
        <v>14</v>
      </c>
      <c r="Y86" s="80" t="str">
        <f>IF(OR(studentdata[[#This Row],[Evening 2025]]&lt;&gt;""),"Yes","")</f>
        <v/>
      </c>
      <c r="Z86" s="80"/>
      <c r="AA86" s="80"/>
      <c r="AB86" s="80" t="str">
        <f>IF(OR(studentdata[[#This Row],[Weekend 2025 Enrolled]]="Yes",studentdata[[#This Row],[Evening 2025 Enrolled]]="Yes"),"Yes","")</f>
        <v>Yes</v>
      </c>
    </row>
    <row r="87" spans="1:28" x14ac:dyDescent="0.25">
      <c r="A87" s="80">
        <v>5</v>
      </c>
      <c r="C87" s="67" t="s">
        <v>760</v>
      </c>
      <c r="D87" s="67" t="s">
        <v>68</v>
      </c>
      <c r="E87" s="67" t="s">
        <v>69</v>
      </c>
      <c r="F87" s="67">
        <v>48091</v>
      </c>
      <c r="H87" s="67" t="s">
        <v>761</v>
      </c>
      <c r="I87" s="67" t="s">
        <v>75</v>
      </c>
      <c r="J87" s="67">
        <v>15863563586</v>
      </c>
      <c r="K87" s="67">
        <v>15863353068</v>
      </c>
      <c r="M87" s="80">
        <v>86</v>
      </c>
      <c r="N87" s="67" t="s">
        <v>762</v>
      </c>
      <c r="O87" s="80">
        <v>51</v>
      </c>
      <c r="P87" s="67" t="s">
        <v>763</v>
      </c>
      <c r="Q87" s="67">
        <v>15863394017</v>
      </c>
      <c r="R87" s="67" t="s">
        <v>764</v>
      </c>
      <c r="S87" s="67">
        <v>15863394017</v>
      </c>
      <c r="T87" s="80" t="s">
        <v>56</v>
      </c>
      <c r="U87" s="80" t="s">
        <v>171</v>
      </c>
      <c r="V87" s="177"/>
      <c r="W87" s="80" t="str">
        <f>IF(OR(studentdata[[#This Row],[Weekend 2025]]&lt;&gt;""),"Yes","")</f>
        <v/>
      </c>
      <c r="X87" s="80"/>
      <c r="Y87" s="80" t="str">
        <f>IF(OR(studentdata[[#This Row],[Evening 2025]]&lt;&gt;""),"Yes","")</f>
        <v/>
      </c>
      <c r="Z87" s="80"/>
      <c r="AA87" s="80"/>
      <c r="AB87" s="80" t="str">
        <f>IF(OR(studentdata[[#This Row],[Weekend 2025 Enrolled]]="Yes",studentdata[[#This Row],[Evening 2025 Enrolled]]="Yes"),"Yes","")</f>
        <v/>
      </c>
    </row>
    <row r="88" spans="1:28" x14ac:dyDescent="0.25">
      <c r="A88" s="190">
        <v>42881</v>
      </c>
      <c r="C88" s="67" t="s">
        <v>99</v>
      </c>
      <c r="D88" s="67" t="s">
        <v>68</v>
      </c>
      <c r="E88" s="67" t="s">
        <v>69</v>
      </c>
      <c r="F88" s="67">
        <v>48089</v>
      </c>
      <c r="H88" s="67" t="s">
        <v>100</v>
      </c>
      <c r="I88" s="67" t="s">
        <v>101</v>
      </c>
      <c r="J88" s="67"/>
      <c r="K88" s="67">
        <v>13139999345</v>
      </c>
      <c r="M88" s="80">
        <v>87</v>
      </c>
      <c r="N88" s="67" t="s">
        <v>974</v>
      </c>
      <c r="O88" s="80">
        <v>52</v>
      </c>
      <c r="P88" s="67" t="s">
        <v>97</v>
      </c>
      <c r="Q88" s="67">
        <v>3137075251</v>
      </c>
      <c r="R88" s="67" t="s">
        <v>98</v>
      </c>
      <c r="S88" s="67">
        <v>3479937949</v>
      </c>
      <c r="T88" s="80" t="s">
        <v>46</v>
      </c>
      <c r="U88" s="80" t="s">
        <v>95</v>
      </c>
      <c r="V88" s="177"/>
      <c r="W88" s="80" t="str">
        <f>IF(OR(studentdata[[#This Row],[Weekend 2025]]&lt;&gt;""),"Yes","")</f>
        <v/>
      </c>
      <c r="X88" s="80"/>
      <c r="Y88" s="80" t="str">
        <f>IF(OR(studentdata[[#This Row],[Evening 2025]]&lt;&gt;""),"Yes","")</f>
        <v/>
      </c>
      <c r="Z88" s="80"/>
      <c r="AA88" s="80"/>
      <c r="AB88" s="80" t="str">
        <f>IF(OR(studentdata[[#This Row],[Weekend 2025 Enrolled]]="Yes",studentdata[[#This Row],[Evening 2025 Enrolled]]="Yes"),"Yes","")</f>
        <v/>
      </c>
    </row>
    <row r="89" spans="1:28" x14ac:dyDescent="0.25">
      <c r="A89" s="80">
        <v>8</v>
      </c>
      <c r="B89" s="67" t="s">
        <v>45</v>
      </c>
      <c r="C89" s="67" t="s">
        <v>457</v>
      </c>
      <c r="D89" s="67" t="s">
        <v>68</v>
      </c>
      <c r="E89" s="67" t="s">
        <v>69</v>
      </c>
      <c r="F89" s="67">
        <v>48092</v>
      </c>
      <c r="I89" s="67"/>
      <c r="J89" s="67"/>
      <c r="M89" s="80">
        <v>88</v>
      </c>
      <c r="N89" s="67" t="s">
        <v>688</v>
      </c>
      <c r="O89" s="80">
        <v>53</v>
      </c>
      <c r="P89" s="67" t="s">
        <v>459</v>
      </c>
      <c r="Q89" s="67">
        <v>13133126688</v>
      </c>
      <c r="R89" s="67" t="s">
        <v>460</v>
      </c>
      <c r="T89" s="80" t="s">
        <v>46</v>
      </c>
      <c r="U89" s="80" t="s">
        <v>95</v>
      </c>
      <c r="V89" s="177" t="s">
        <v>142</v>
      </c>
      <c r="W89" s="80" t="str">
        <f>IF(OR(studentdata[[#This Row],[Weekend 2025]]&lt;&gt;""),"Yes","")</f>
        <v>Yes</v>
      </c>
      <c r="X89" s="80">
        <v>9</v>
      </c>
      <c r="Y89" s="80" t="str">
        <f>IF(OR(studentdata[[#This Row],[Evening 2025]]&lt;&gt;""),"Yes","")</f>
        <v/>
      </c>
      <c r="Z89" s="80"/>
      <c r="AA89" s="80"/>
      <c r="AB89" s="80" t="str">
        <f>IF(OR(studentdata[[#This Row],[Weekend 2025 Enrolled]]="Yes",studentdata[[#This Row],[Evening 2025 Enrolled]]="Yes"),"Yes","")</f>
        <v>Yes</v>
      </c>
    </row>
    <row r="90" spans="1:28" x14ac:dyDescent="0.25">
      <c r="A90" s="80">
        <v>6</v>
      </c>
      <c r="C90" s="67" t="s">
        <v>457</v>
      </c>
      <c r="D90" s="67" t="s">
        <v>68</v>
      </c>
      <c r="E90" s="67" t="s">
        <v>69</v>
      </c>
      <c r="F90" s="67">
        <v>48092</v>
      </c>
      <c r="I90" s="67"/>
      <c r="J90" s="67"/>
      <c r="M90" s="80">
        <v>89</v>
      </c>
      <c r="N90" s="67" t="s">
        <v>458</v>
      </c>
      <c r="O90" s="80">
        <v>53</v>
      </c>
      <c r="P90" s="67" t="s">
        <v>459</v>
      </c>
      <c r="Q90" s="67">
        <v>13133126688</v>
      </c>
      <c r="R90" s="67" t="s">
        <v>460</v>
      </c>
      <c r="T90" s="80" t="s">
        <v>56</v>
      </c>
      <c r="U90" s="80" t="s">
        <v>171</v>
      </c>
      <c r="V90" s="177" t="s">
        <v>137</v>
      </c>
      <c r="W90" s="80" t="str">
        <f>IF(OR(studentdata[[#This Row],[Weekend 2025]]&lt;&gt;""),"Yes","")</f>
        <v>Yes</v>
      </c>
      <c r="X90" s="80">
        <v>11</v>
      </c>
      <c r="Y90" s="80" t="str">
        <f>IF(OR(studentdata[[#This Row],[Evening 2025]]&lt;&gt;""),"Yes","")</f>
        <v/>
      </c>
      <c r="Z90" s="80"/>
      <c r="AA90" s="80"/>
      <c r="AB90" s="80" t="str">
        <f>IF(OR(studentdata[[#This Row],[Weekend 2025 Enrolled]]="Yes",studentdata[[#This Row],[Evening 2025 Enrolled]]="Yes"),"Yes","")</f>
        <v>Yes</v>
      </c>
    </row>
    <row r="91" spans="1:28" x14ac:dyDescent="0.25">
      <c r="A91" s="80">
        <v>7</v>
      </c>
      <c r="C91" s="67" t="s">
        <v>975</v>
      </c>
      <c r="D91" s="67" t="s">
        <v>68</v>
      </c>
      <c r="E91" s="67" t="s">
        <v>69</v>
      </c>
      <c r="F91" s="67">
        <v>48089</v>
      </c>
      <c r="G91" s="67" t="s">
        <v>976</v>
      </c>
      <c r="I91" s="67"/>
      <c r="J91" s="67"/>
      <c r="M91" s="80">
        <v>90</v>
      </c>
      <c r="N91" s="67" t="s">
        <v>977</v>
      </c>
      <c r="O91" s="80">
        <v>54</v>
      </c>
      <c r="P91" s="67" t="s">
        <v>978</v>
      </c>
      <c r="Q91" s="67">
        <v>15864430227</v>
      </c>
      <c r="R91" s="67" t="s">
        <v>979</v>
      </c>
      <c r="S91" s="67">
        <v>15864043167</v>
      </c>
      <c r="T91" s="80" t="s">
        <v>46</v>
      </c>
      <c r="U91" s="80" t="s">
        <v>95</v>
      </c>
      <c r="V91" s="177"/>
      <c r="W91" s="80" t="str">
        <f>IF(OR(studentdata[[#This Row],[Weekend 2025]]&lt;&gt;""),"Yes","")</f>
        <v/>
      </c>
      <c r="X91" s="80"/>
      <c r="Y91" s="80" t="str">
        <f>IF(OR(studentdata[[#This Row],[Evening 2025]]&lt;&gt;""),"Yes","")</f>
        <v/>
      </c>
      <c r="Z91" s="80"/>
      <c r="AA91" s="80"/>
      <c r="AB91" s="80" t="str">
        <f>IF(OR(studentdata[[#This Row],[Weekend 2025 Enrolled]]="Yes",studentdata[[#This Row],[Evening 2025 Enrolled]]="Yes"),"Yes","")</f>
        <v/>
      </c>
    </row>
    <row r="92" spans="1:28" x14ac:dyDescent="0.25">
      <c r="A92" s="80">
        <v>8</v>
      </c>
      <c r="C92" s="67" t="s">
        <v>428</v>
      </c>
      <c r="D92" s="67" t="s">
        <v>68</v>
      </c>
      <c r="E92" s="67" t="s">
        <v>69</v>
      </c>
      <c r="F92" s="67">
        <v>48083</v>
      </c>
      <c r="G92" s="67" t="s">
        <v>429</v>
      </c>
      <c r="H92" s="67" t="s">
        <v>430</v>
      </c>
      <c r="I92" s="67" t="s">
        <v>75</v>
      </c>
      <c r="J92" s="67"/>
      <c r="K92" s="67">
        <v>12482274052</v>
      </c>
      <c r="M92" s="80">
        <v>91</v>
      </c>
      <c r="N92" s="67" t="s">
        <v>431</v>
      </c>
      <c r="O92" s="80">
        <v>55</v>
      </c>
      <c r="P92" s="67" t="s">
        <v>432</v>
      </c>
      <c r="Q92" s="67">
        <v>15864201144</v>
      </c>
      <c r="R92" s="67" t="s">
        <v>433</v>
      </c>
      <c r="S92" s="67">
        <v>15863396355</v>
      </c>
      <c r="T92" s="80" t="s">
        <v>56</v>
      </c>
      <c r="U92" s="80" t="s">
        <v>95</v>
      </c>
      <c r="V92" s="177" t="s">
        <v>137</v>
      </c>
      <c r="W92" s="80" t="str">
        <f>IF(OR(studentdata[[#This Row],[Weekend 2025]]&lt;&gt;""),"Yes","")</f>
        <v>Yes</v>
      </c>
      <c r="X92" s="80">
        <v>1</v>
      </c>
      <c r="Y92" s="80" t="str">
        <f>IF(OR(studentdata[[#This Row],[Evening 2025]]&lt;&gt;""),"Yes","")</f>
        <v/>
      </c>
      <c r="Z92" s="80"/>
      <c r="AA92" s="80"/>
      <c r="AB92" s="80" t="str">
        <f>IF(OR(studentdata[[#This Row],[Weekend 2025 Enrolled]]="Yes",studentdata[[#This Row],[Evening 2025 Enrolled]]="Yes"),"Yes","")</f>
        <v>Yes</v>
      </c>
    </row>
    <row r="93" spans="1:28" x14ac:dyDescent="0.25">
      <c r="A93" s="80">
        <v>14</v>
      </c>
      <c r="C93" s="67" t="s">
        <v>765</v>
      </c>
      <c r="D93" s="67" t="s">
        <v>68</v>
      </c>
      <c r="E93" s="67" t="s">
        <v>69</v>
      </c>
      <c r="F93" s="67">
        <v>48091</v>
      </c>
      <c r="I93" s="67" t="s">
        <v>766</v>
      </c>
      <c r="J93" s="67">
        <v>19472776604</v>
      </c>
      <c r="K93" s="67">
        <v>13137449030</v>
      </c>
      <c r="M93" s="80">
        <v>92</v>
      </c>
      <c r="N93" s="67" t="s">
        <v>767</v>
      </c>
      <c r="O93" s="80">
        <v>56</v>
      </c>
      <c r="P93" s="67" t="s">
        <v>768</v>
      </c>
      <c r="Q93" s="67">
        <v>13137448930</v>
      </c>
      <c r="R93" s="67" t="s">
        <v>769</v>
      </c>
      <c r="S93" s="67">
        <v>15864388614</v>
      </c>
      <c r="T93" s="80" t="s">
        <v>56</v>
      </c>
      <c r="U93" s="80" t="s">
        <v>109</v>
      </c>
      <c r="V93" s="177"/>
      <c r="W93" s="80" t="str">
        <f>IF(OR(studentdata[[#This Row],[Weekend 2025]]&lt;&gt;""),"Yes","")</f>
        <v/>
      </c>
      <c r="X93" s="80"/>
      <c r="Y93" s="80" t="str">
        <f>IF(OR(studentdata[[#This Row],[Evening 2025]]&lt;&gt;""),"Yes","")</f>
        <v/>
      </c>
      <c r="Z93" s="80"/>
      <c r="AA93" s="80"/>
      <c r="AB93" s="80" t="str">
        <f>IF(OR(studentdata[[#This Row],[Weekend 2025 Enrolled]]="Yes",studentdata[[#This Row],[Evening 2025 Enrolled]]="Yes"),"Yes","")</f>
        <v/>
      </c>
    </row>
    <row r="94" spans="1:28" x14ac:dyDescent="0.25">
      <c r="A94" s="80">
        <v>9</v>
      </c>
      <c r="C94" s="67" t="s">
        <v>765</v>
      </c>
      <c r="D94" s="67" t="s">
        <v>68</v>
      </c>
      <c r="E94" s="67" t="s">
        <v>69</v>
      </c>
      <c r="F94" s="67">
        <v>48091</v>
      </c>
      <c r="I94" s="67" t="s">
        <v>766</v>
      </c>
      <c r="J94" s="67">
        <v>19472776604</v>
      </c>
      <c r="K94" s="67">
        <v>13137449030</v>
      </c>
      <c r="M94" s="80">
        <v>93</v>
      </c>
      <c r="N94" s="67" t="s">
        <v>770</v>
      </c>
      <c r="O94" s="80">
        <v>56</v>
      </c>
      <c r="P94" s="67" t="s">
        <v>768</v>
      </c>
      <c r="Q94" s="67">
        <v>13137448930</v>
      </c>
      <c r="R94" s="67" t="s">
        <v>769</v>
      </c>
      <c r="S94" s="67">
        <v>15864388614</v>
      </c>
      <c r="T94" s="80" t="s">
        <v>56</v>
      </c>
      <c r="U94" s="80" t="s">
        <v>80</v>
      </c>
      <c r="V94" s="177"/>
      <c r="W94" s="80" t="str">
        <f>IF(OR(studentdata[[#This Row],[Weekend 2025]]&lt;&gt;""),"Yes","")</f>
        <v/>
      </c>
      <c r="X94" s="80"/>
      <c r="Y94" s="80" t="str">
        <f>IF(OR(studentdata[[#This Row],[Evening 2025]]&lt;&gt;""),"Yes","")</f>
        <v/>
      </c>
      <c r="Z94" s="80"/>
      <c r="AA94" s="80"/>
      <c r="AB94" s="80" t="str">
        <f>IF(OR(studentdata[[#This Row],[Weekend 2025 Enrolled]]="Yes",studentdata[[#This Row],[Evening 2025 Enrolled]]="Yes"),"Yes","")</f>
        <v/>
      </c>
    </row>
    <row r="95" spans="1:28" x14ac:dyDescent="0.25">
      <c r="A95" s="80">
        <v>13</v>
      </c>
      <c r="B95" s="67">
        <v>3</v>
      </c>
      <c r="C95" s="67" t="s">
        <v>771</v>
      </c>
      <c r="D95" s="67" t="s">
        <v>68</v>
      </c>
      <c r="E95" s="67" t="s">
        <v>69</v>
      </c>
      <c r="F95" s="67">
        <v>48092</v>
      </c>
      <c r="G95" s="67" t="s">
        <v>772</v>
      </c>
      <c r="H95" s="67" t="s">
        <v>773</v>
      </c>
      <c r="I95" s="67" t="s">
        <v>177</v>
      </c>
      <c r="J95" s="67">
        <v>13137219089</v>
      </c>
      <c r="M95" s="80">
        <v>94</v>
      </c>
      <c r="N95" s="67" t="s">
        <v>774</v>
      </c>
      <c r="O95" s="80">
        <v>57</v>
      </c>
      <c r="P95" s="67" t="s">
        <v>775</v>
      </c>
      <c r="Q95" s="67">
        <v>13137219066</v>
      </c>
      <c r="R95" s="67" t="s">
        <v>776</v>
      </c>
      <c r="S95" s="67">
        <v>15863441980</v>
      </c>
      <c r="T95" s="80" t="s">
        <v>56</v>
      </c>
      <c r="U95" s="80" t="s">
        <v>61</v>
      </c>
      <c r="V95" s="177"/>
      <c r="W95" s="80" t="str">
        <f>IF(OR(studentdata[[#This Row],[Weekend 2025]]&lt;&gt;""),"Yes","")</f>
        <v/>
      </c>
      <c r="X95" s="80"/>
      <c r="Y95" s="80" t="str">
        <f>IF(OR(studentdata[[#This Row],[Evening 2025]]&lt;&gt;""),"Yes","")</f>
        <v/>
      </c>
      <c r="Z95" s="80"/>
      <c r="AA95" s="80"/>
      <c r="AB95" s="80" t="str">
        <f>IF(OR(studentdata[[#This Row],[Weekend 2025 Enrolled]]="Yes",studentdata[[#This Row],[Evening 2025 Enrolled]]="Yes"),"Yes","")</f>
        <v/>
      </c>
    </row>
    <row r="96" spans="1:28" x14ac:dyDescent="0.25">
      <c r="A96" s="80">
        <v>11</v>
      </c>
      <c r="B96" s="67">
        <v>3</v>
      </c>
      <c r="C96" s="67" t="s">
        <v>771</v>
      </c>
      <c r="D96" s="67" t="s">
        <v>68</v>
      </c>
      <c r="E96" s="67" t="s">
        <v>69</v>
      </c>
      <c r="F96" s="67">
        <v>48092</v>
      </c>
      <c r="G96" s="67" t="s">
        <v>772</v>
      </c>
      <c r="H96" s="67" t="s">
        <v>773</v>
      </c>
      <c r="I96" s="67" t="s">
        <v>177</v>
      </c>
      <c r="J96" s="67">
        <v>13137219089</v>
      </c>
      <c r="M96" s="80">
        <v>95</v>
      </c>
      <c r="N96" s="67" t="s">
        <v>777</v>
      </c>
      <c r="O96" s="80">
        <v>57</v>
      </c>
      <c r="P96" s="67" t="s">
        <v>775</v>
      </c>
      <c r="Q96" s="67">
        <v>13137219066</v>
      </c>
      <c r="R96" s="67" t="s">
        <v>776</v>
      </c>
      <c r="S96" s="67">
        <v>15863441980</v>
      </c>
      <c r="T96" s="80" t="s">
        <v>56</v>
      </c>
      <c r="U96" s="80" t="s">
        <v>85</v>
      </c>
      <c r="V96" s="177"/>
      <c r="W96" s="80" t="str">
        <f>IF(OR(studentdata[[#This Row],[Weekend 2025]]&lt;&gt;""),"Yes","")</f>
        <v/>
      </c>
      <c r="X96" s="80"/>
      <c r="Y96" s="80" t="str">
        <f>IF(OR(studentdata[[#This Row],[Evening 2025]]&lt;&gt;""),"Yes","")</f>
        <v/>
      </c>
      <c r="Z96" s="80"/>
      <c r="AA96" s="80"/>
      <c r="AB96" s="80" t="str">
        <f>IF(OR(studentdata[[#This Row],[Weekend 2025 Enrolled]]="Yes",studentdata[[#This Row],[Evening 2025 Enrolled]]="Yes"),"Yes","")</f>
        <v/>
      </c>
    </row>
    <row r="97" spans="1:28" x14ac:dyDescent="0.25">
      <c r="A97" s="80">
        <v>5</v>
      </c>
      <c r="C97" s="67" t="s">
        <v>771</v>
      </c>
      <c r="D97" s="67" t="s">
        <v>68</v>
      </c>
      <c r="E97" s="67" t="s">
        <v>69</v>
      </c>
      <c r="F97" s="67">
        <v>48092</v>
      </c>
      <c r="G97" s="67" t="s">
        <v>772</v>
      </c>
      <c r="H97" s="67" t="s">
        <v>773</v>
      </c>
      <c r="I97" s="67" t="s">
        <v>177</v>
      </c>
      <c r="J97" s="67">
        <v>13137219089</v>
      </c>
      <c r="M97" s="80">
        <v>96</v>
      </c>
      <c r="N97" s="67" t="s">
        <v>980</v>
      </c>
      <c r="O97" s="80">
        <v>57</v>
      </c>
      <c r="P97" s="67" t="s">
        <v>775</v>
      </c>
      <c r="Q97" s="67">
        <v>13137219066</v>
      </c>
      <c r="R97" s="67" t="s">
        <v>776</v>
      </c>
      <c r="S97" s="67">
        <v>15863441980</v>
      </c>
      <c r="T97" s="80" t="s">
        <v>46</v>
      </c>
      <c r="U97" s="80" t="s">
        <v>171</v>
      </c>
      <c r="V97" s="177"/>
      <c r="W97" s="80" t="str">
        <f>IF(OR(studentdata[[#This Row],[Weekend 2025]]&lt;&gt;""),"Yes","")</f>
        <v/>
      </c>
      <c r="X97" s="80"/>
      <c r="Y97" s="80" t="str">
        <f>IF(OR(studentdata[[#This Row],[Evening 2025]]&lt;&gt;""),"Yes","")</f>
        <v/>
      </c>
      <c r="Z97" s="80"/>
      <c r="AA97" s="80"/>
      <c r="AB97" s="80" t="str">
        <f>IF(OR(studentdata[[#This Row],[Weekend 2025 Enrolled]]="Yes",studentdata[[#This Row],[Evening 2025 Enrolled]]="Yes"),"Yes","")</f>
        <v/>
      </c>
    </row>
    <row r="98" spans="1:28" x14ac:dyDescent="0.25">
      <c r="A98" s="80">
        <v>7</v>
      </c>
      <c r="B98" s="67">
        <v>2</v>
      </c>
      <c r="C98" s="67" t="s">
        <v>771</v>
      </c>
      <c r="D98" s="67" t="s">
        <v>68</v>
      </c>
      <c r="E98" s="67" t="s">
        <v>69</v>
      </c>
      <c r="F98" s="67">
        <v>48092</v>
      </c>
      <c r="G98" s="67" t="s">
        <v>772</v>
      </c>
      <c r="H98" s="67" t="s">
        <v>773</v>
      </c>
      <c r="I98" s="67" t="s">
        <v>177</v>
      </c>
      <c r="J98" s="67">
        <v>13137219089</v>
      </c>
      <c r="M98" s="80">
        <v>97</v>
      </c>
      <c r="N98" s="67" t="s">
        <v>981</v>
      </c>
      <c r="O98" s="80">
        <v>57</v>
      </c>
      <c r="P98" s="67" t="s">
        <v>775</v>
      </c>
      <c r="Q98" s="67">
        <v>13137219066</v>
      </c>
      <c r="R98" s="67" t="s">
        <v>776</v>
      </c>
      <c r="S98" s="67">
        <v>15863441980</v>
      </c>
      <c r="T98" s="80" t="s">
        <v>46</v>
      </c>
      <c r="U98" s="80" t="s">
        <v>57</v>
      </c>
      <c r="V98" s="177"/>
      <c r="W98" s="80" t="str">
        <f>IF(OR(studentdata[[#This Row],[Weekend 2025]]&lt;&gt;""),"Yes","")</f>
        <v/>
      </c>
      <c r="X98" s="80"/>
      <c r="Y98" s="80" t="str">
        <f>IF(OR(studentdata[[#This Row],[Evening 2025]]&lt;&gt;""),"Yes","")</f>
        <v/>
      </c>
      <c r="Z98" s="80"/>
      <c r="AA98" s="80"/>
      <c r="AB98" s="80" t="str">
        <f>IF(OR(studentdata[[#This Row],[Weekend 2025 Enrolled]]="Yes",studentdata[[#This Row],[Evening 2025 Enrolled]]="Yes"),"Yes","")</f>
        <v/>
      </c>
    </row>
    <row r="99" spans="1:28" x14ac:dyDescent="0.25">
      <c r="A99" s="80">
        <v>12</v>
      </c>
      <c r="B99" s="67">
        <v>3</v>
      </c>
      <c r="C99" s="67" t="s">
        <v>723</v>
      </c>
      <c r="D99" s="67" t="s">
        <v>68</v>
      </c>
      <c r="E99" s="67" t="s">
        <v>69</v>
      </c>
      <c r="F99" s="67">
        <v>48091</v>
      </c>
      <c r="G99" s="67" t="s">
        <v>724</v>
      </c>
      <c r="H99" s="67" t="s">
        <v>327</v>
      </c>
      <c r="I99" s="67" t="s">
        <v>595</v>
      </c>
      <c r="J99" s="67"/>
      <c r="M99" s="80">
        <v>98</v>
      </c>
      <c r="N99" s="67" t="s">
        <v>725</v>
      </c>
      <c r="O99" s="80">
        <v>58</v>
      </c>
      <c r="P99" s="67" t="s">
        <v>726</v>
      </c>
      <c r="Q99" s="67">
        <v>12483159589</v>
      </c>
      <c r="R99" s="67" t="s">
        <v>727</v>
      </c>
      <c r="S99" s="67">
        <v>15862898850</v>
      </c>
      <c r="T99" s="80" t="s">
        <v>56</v>
      </c>
      <c r="U99" s="80" t="s">
        <v>61</v>
      </c>
      <c r="V99" s="177">
        <v>4</v>
      </c>
      <c r="W99" s="80" t="str">
        <f>IF(OR(studentdata[[#This Row],[Weekend 2025]]&lt;&gt;""),"Yes","")</f>
        <v/>
      </c>
      <c r="X99" s="80"/>
      <c r="Y99" s="80" t="str">
        <f>IF(OR(studentdata[[#This Row],[Evening 2025]]&lt;&gt;""),"Yes","")</f>
        <v/>
      </c>
      <c r="Z99" s="80"/>
      <c r="AA99" s="80"/>
      <c r="AB99" s="80" t="str">
        <f>IF(OR(studentdata[[#This Row],[Weekend 2025 Enrolled]]="Yes",studentdata[[#This Row],[Evening 2025 Enrolled]]="Yes"),"Yes","")</f>
        <v/>
      </c>
    </row>
    <row r="100" spans="1:28" x14ac:dyDescent="0.25">
      <c r="A100" s="80">
        <v>5</v>
      </c>
      <c r="B100" s="67">
        <v>1</v>
      </c>
      <c r="C100" s="67" t="s">
        <v>175</v>
      </c>
      <c r="D100" s="67" t="s">
        <v>68</v>
      </c>
      <c r="E100" s="67" t="s">
        <v>69</v>
      </c>
      <c r="F100" s="67">
        <v>48091</v>
      </c>
      <c r="H100" s="67" t="s">
        <v>176</v>
      </c>
      <c r="I100" s="67" t="s">
        <v>177</v>
      </c>
      <c r="J100" s="67">
        <v>13136639771</v>
      </c>
      <c r="M100" s="80">
        <v>99</v>
      </c>
      <c r="N100" s="67" t="s">
        <v>172</v>
      </c>
      <c r="O100" s="80">
        <v>59</v>
      </c>
      <c r="P100" s="67" t="s">
        <v>173</v>
      </c>
      <c r="Q100" s="67">
        <v>15863605727</v>
      </c>
      <c r="R100" s="67" t="s">
        <v>174</v>
      </c>
      <c r="T100" s="80" t="s">
        <v>46</v>
      </c>
      <c r="U100" s="80" t="s">
        <v>171</v>
      </c>
      <c r="V100" s="177" t="s">
        <v>48</v>
      </c>
      <c r="W100" s="80" t="str">
        <f>IF(OR(studentdata[[#This Row],[Weekend 2025]]&lt;&gt;""),"Yes","")</f>
        <v>Yes</v>
      </c>
      <c r="X100" s="80">
        <v>14</v>
      </c>
      <c r="Y100" s="80" t="str">
        <f>IF(OR(studentdata[[#This Row],[Evening 2025]]&lt;&gt;""),"Yes","")</f>
        <v>Yes</v>
      </c>
      <c r="Z100" s="80">
        <v>8</v>
      </c>
      <c r="AA100" s="80"/>
      <c r="AB100" s="80" t="str">
        <f>IF(OR(studentdata[[#This Row],[Weekend 2025 Enrolled]]="Yes",studentdata[[#This Row],[Evening 2025 Enrolled]]="Yes"),"Yes","")</f>
        <v>Yes</v>
      </c>
    </row>
    <row r="101" spans="1:28" x14ac:dyDescent="0.25">
      <c r="A101" s="80">
        <v>6</v>
      </c>
      <c r="B101" s="67" t="s">
        <v>45</v>
      </c>
      <c r="C101" s="67" t="s">
        <v>660</v>
      </c>
      <c r="D101" s="67" t="s">
        <v>68</v>
      </c>
      <c r="E101" s="67" t="s">
        <v>69</v>
      </c>
      <c r="F101" s="67">
        <v>48091</v>
      </c>
      <c r="I101" s="67"/>
      <c r="J101" s="67"/>
      <c r="M101" s="80">
        <v>100</v>
      </c>
      <c r="N101" s="67" t="s">
        <v>661</v>
      </c>
      <c r="O101" s="80">
        <v>60</v>
      </c>
      <c r="P101" s="67" t="s">
        <v>662</v>
      </c>
      <c r="Q101" s="67">
        <v>15868222625</v>
      </c>
      <c r="R101" s="67" t="s">
        <v>663</v>
      </c>
      <c r="S101" s="67">
        <v>13134191269</v>
      </c>
      <c r="T101" s="80" t="s">
        <v>46</v>
      </c>
      <c r="U101" s="80"/>
      <c r="V101" s="177" t="s">
        <v>137</v>
      </c>
      <c r="W101" s="80" t="str">
        <f>IF(OR(studentdata[[#This Row],[Weekend 2025]]&lt;&gt;""),"Yes","")</f>
        <v>Yes</v>
      </c>
      <c r="X101" s="80">
        <v>13</v>
      </c>
      <c r="Y101" s="80" t="str">
        <f>IF(OR(studentdata[[#This Row],[Evening 2025]]&lt;&gt;""),"Yes","")</f>
        <v/>
      </c>
      <c r="Z101" s="80"/>
      <c r="AA101" s="80"/>
      <c r="AB101" s="80" t="str">
        <f>IF(OR(studentdata[[#This Row],[Weekend 2025 Enrolled]]="Yes",studentdata[[#This Row],[Evening 2025 Enrolled]]="Yes"),"Yes","")</f>
        <v>Yes</v>
      </c>
    </row>
    <row r="102" spans="1:28" x14ac:dyDescent="0.25">
      <c r="A102" s="80">
        <v>13</v>
      </c>
      <c r="C102" s="67" t="s">
        <v>982</v>
      </c>
      <c r="D102" s="67" t="s">
        <v>68</v>
      </c>
      <c r="E102" s="67" t="s">
        <v>69</v>
      </c>
      <c r="F102" s="67">
        <v>48093</v>
      </c>
      <c r="G102" s="67" t="s">
        <v>983</v>
      </c>
      <c r="H102" s="67" t="s">
        <v>984</v>
      </c>
      <c r="I102" s="67"/>
      <c r="J102" s="67">
        <v>13133123761</v>
      </c>
      <c r="K102" s="67">
        <v>13133123761</v>
      </c>
      <c r="M102" s="80">
        <v>101</v>
      </c>
      <c r="N102" s="67" t="s">
        <v>985</v>
      </c>
      <c r="O102" s="80">
        <v>61</v>
      </c>
      <c r="P102" s="67" t="s">
        <v>986</v>
      </c>
      <c r="Q102" s="67">
        <v>13134551280</v>
      </c>
      <c r="R102" s="67" t="s">
        <v>987</v>
      </c>
      <c r="T102" s="80" t="s">
        <v>46</v>
      </c>
      <c r="U102" s="80"/>
      <c r="V102" s="177"/>
      <c r="W102" s="80" t="str">
        <f>IF(OR(studentdata[[#This Row],[Weekend 2025]]&lt;&gt;""),"Yes","")</f>
        <v/>
      </c>
      <c r="X102" s="80"/>
      <c r="Y102" s="80" t="str">
        <f>IF(OR(studentdata[[#This Row],[Evening 2025]]&lt;&gt;""),"Yes","")</f>
        <v/>
      </c>
      <c r="Z102" s="80"/>
      <c r="AA102" s="80"/>
      <c r="AB102" s="80" t="str">
        <f>IF(OR(studentdata[[#This Row],[Weekend 2025 Enrolled]]="Yes",studentdata[[#This Row],[Evening 2025 Enrolled]]="Yes"),"Yes","")</f>
        <v/>
      </c>
    </row>
    <row r="103" spans="1:28" x14ac:dyDescent="0.25">
      <c r="A103" s="80">
        <v>5</v>
      </c>
      <c r="C103" s="67" t="s">
        <v>982</v>
      </c>
      <c r="D103" s="67" t="s">
        <v>68</v>
      </c>
      <c r="E103" s="67" t="s">
        <v>69</v>
      </c>
      <c r="F103" s="67">
        <v>48093</v>
      </c>
      <c r="G103" s="67" t="s">
        <v>983</v>
      </c>
      <c r="H103" s="67" t="s">
        <v>984</v>
      </c>
      <c r="I103" s="67"/>
      <c r="J103" s="67">
        <v>13133123761</v>
      </c>
      <c r="K103" s="67">
        <v>13133123761</v>
      </c>
      <c r="M103" s="80">
        <v>102</v>
      </c>
      <c r="N103" s="67" t="s">
        <v>988</v>
      </c>
      <c r="O103" s="80">
        <v>61</v>
      </c>
      <c r="P103" s="67" t="s">
        <v>986</v>
      </c>
      <c r="Q103" s="67">
        <v>13134551280</v>
      </c>
      <c r="R103" s="67" t="s">
        <v>987</v>
      </c>
      <c r="T103" s="80" t="s">
        <v>46</v>
      </c>
      <c r="U103" s="80"/>
      <c r="V103" s="177"/>
      <c r="W103" s="80" t="str">
        <f>IF(OR(studentdata[[#This Row],[Weekend 2025]]&lt;&gt;""),"Yes","")</f>
        <v/>
      </c>
      <c r="X103" s="80"/>
      <c r="Y103" s="80" t="str">
        <f>IF(OR(studentdata[[#This Row],[Evening 2025]]&lt;&gt;""),"Yes","")</f>
        <v/>
      </c>
      <c r="Z103" s="80"/>
      <c r="AA103" s="80"/>
      <c r="AB103" s="80" t="str">
        <f>IF(OR(studentdata[[#This Row],[Weekend 2025 Enrolled]]="Yes",studentdata[[#This Row],[Evening 2025 Enrolled]]="Yes"),"Yes","")</f>
        <v/>
      </c>
    </row>
    <row r="104" spans="1:28" x14ac:dyDescent="0.25">
      <c r="A104" s="80">
        <v>9</v>
      </c>
      <c r="C104" s="67" t="s">
        <v>592</v>
      </c>
      <c r="D104" s="67" t="s">
        <v>68</v>
      </c>
      <c r="E104" s="67" t="s">
        <v>69</v>
      </c>
      <c r="F104" s="67">
        <v>48212</v>
      </c>
      <c r="G104" s="67" t="s">
        <v>593</v>
      </c>
      <c r="H104" s="67" t="s">
        <v>594</v>
      </c>
      <c r="I104" s="67" t="s">
        <v>595</v>
      </c>
      <c r="J104" s="67"/>
      <c r="K104" s="67">
        <v>15869446688</v>
      </c>
      <c r="M104" s="80">
        <v>103</v>
      </c>
      <c r="N104" s="67" t="s">
        <v>596</v>
      </c>
      <c r="O104" s="80">
        <v>62</v>
      </c>
      <c r="P104" s="67" t="s">
        <v>597</v>
      </c>
      <c r="Q104" s="67">
        <v>15868728182</v>
      </c>
      <c r="R104" s="67" t="s">
        <v>598</v>
      </c>
      <c r="T104" s="80" t="s">
        <v>46</v>
      </c>
      <c r="U104" s="80"/>
      <c r="V104" s="177">
        <v>4</v>
      </c>
      <c r="W104" s="80" t="str">
        <f>IF(OR(studentdata[[#This Row],[Weekend 2025]]&lt;&gt;""),"Yes","")</f>
        <v>Yes</v>
      </c>
      <c r="X104" s="80">
        <v>6</v>
      </c>
      <c r="Y104" s="80" t="str">
        <f>IF(OR(studentdata[[#This Row],[Evening 2025]]&lt;&gt;""),"Yes","")</f>
        <v/>
      </c>
      <c r="Z104" s="80"/>
      <c r="AA104" s="80"/>
      <c r="AB104" s="80" t="str">
        <f>IF(OR(studentdata[[#This Row],[Weekend 2025 Enrolled]]="Yes",studentdata[[#This Row],[Evening 2025 Enrolled]]="Yes"),"Yes","")</f>
        <v>Yes</v>
      </c>
    </row>
    <row r="105" spans="1:28" x14ac:dyDescent="0.25">
      <c r="A105" s="80">
        <v>12</v>
      </c>
      <c r="B105" s="67" t="s">
        <v>162</v>
      </c>
      <c r="C105" s="67" t="s">
        <v>604</v>
      </c>
      <c r="D105" s="67" t="s">
        <v>68</v>
      </c>
      <c r="E105" s="67" t="s">
        <v>69</v>
      </c>
      <c r="F105" s="67">
        <v>48084</v>
      </c>
      <c r="H105" s="67" t="s">
        <v>605</v>
      </c>
      <c r="I105" s="67" t="s">
        <v>165</v>
      </c>
      <c r="J105" s="67"/>
      <c r="K105" s="67">
        <v>15865533733</v>
      </c>
      <c r="M105" s="80">
        <v>104</v>
      </c>
      <c r="N105" s="67" t="s">
        <v>606</v>
      </c>
      <c r="O105" s="80">
        <v>63</v>
      </c>
      <c r="P105" s="67" t="s">
        <v>607</v>
      </c>
      <c r="Q105" s="67">
        <v>13133498839</v>
      </c>
      <c r="R105" s="67" t="s">
        <v>608</v>
      </c>
      <c r="T105" s="80" t="s">
        <v>46</v>
      </c>
      <c r="U105" s="80" t="s">
        <v>109</v>
      </c>
      <c r="V105" s="177">
        <v>4</v>
      </c>
      <c r="W105" s="80" t="str">
        <f>IF(OR(studentdata[[#This Row],[Weekend 2025]]&lt;&gt;""),"Yes","")</f>
        <v>Yes</v>
      </c>
      <c r="X105" s="80">
        <v>14</v>
      </c>
      <c r="Y105" s="80" t="str">
        <f>IF(OR(studentdata[[#This Row],[Evening 2025]]&lt;&gt;""),"Yes","")</f>
        <v/>
      </c>
      <c r="Z105" s="80"/>
      <c r="AA105" s="80"/>
      <c r="AB105" s="80" t="str">
        <f>IF(OR(studentdata[[#This Row],[Weekend 2025 Enrolled]]="Yes",studentdata[[#This Row],[Evening 2025 Enrolled]]="Yes"),"Yes","")</f>
        <v>Yes</v>
      </c>
    </row>
    <row r="106" spans="1:28" x14ac:dyDescent="0.25">
      <c r="A106" s="80">
        <v>7</v>
      </c>
      <c r="C106" s="67" t="s">
        <v>778</v>
      </c>
      <c r="D106" s="67" t="s">
        <v>68</v>
      </c>
      <c r="E106" s="67" t="s">
        <v>69</v>
      </c>
      <c r="F106" s="67">
        <v>48091</v>
      </c>
      <c r="I106" s="67"/>
      <c r="J106" s="67"/>
      <c r="M106" s="80">
        <v>105</v>
      </c>
      <c r="N106" s="67" t="s">
        <v>989</v>
      </c>
      <c r="O106" s="80">
        <v>64</v>
      </c>
      <c r="P106" s="67" t="s">
        <v>780</v>
      </c>
      <c r="Q106" s="67">
        <v>15867388443</v>
      </c>
      <c r="R106" s="67" t="s">
        <v>781</v>
      </c>
      <c r="S106" s="67">
        <v>15865656860</v>
      </c>
      <c r="T106" s="80" t="s">
        <v>46</v>
      </c>
      <c r="U106" s="80"/>
      <c r="V106" s="177"/>
      <c r="W106" s="80" t="str">
        <f>IF(OR(studentdata[[#This Row],[Weekend 2025]]&lt;&gt;""),"Yes","")</f>
        <v/>
      </c>
      <c r="X106" s="80"/>
      <c r="Y106" s="80" t="str">
        <f>IF(OR(studentdata[[#This Row],[Evening 2025]]&lt;&gt;""),"Yes","")</f>
        <v/>
      </c>
      <c r="Z106" s="80"/>
      <c r="AA106" s="80"/>
      <c r="AB106" s="80" t="str">
        <f>IF(OR(studentdata[[#This Row],[Weekend 2025 Enrolled]]="Yes",studentdata[[#This Row],[Evening 2025 Enrolled]]="Yes"),"Yes","")</f>
        <v/>
      </c>
    </row>
    <row r="107" spans="1:28" x14ac:dyDescent="0.25">
      <c r="A107" s="80">
        <v>8</v>
      </c>
      <c r="C107" s="67" t="s">
        <v>778</v>
      </c>
      <c r="D107" s="67" t="s">
        <v>68</v>
      </c>
      <c r="E107" s="67" t="s">
        <v>69</v>
      </c>
      <c r="F107" s="67">
        <v>48091</v>
      </c>
      <c r="I107" s="67"/>
      <c r="J107" s="67"/>
      <c r="M107" s="80">
        <v>106</v>
      </c>
      <c r="N107" s="67" t="s">
        <v>779</v>
      </c>
      <c r="O107" s="80">
        <v>64</v>
      </c>
      <c r="P107" s="67" t="s">
        <v>780</v>
      </c>
      <c r="Q107" s="67">
        <v>15867388443</v>
      </c>
      <c r="R107" s="67" t="s">
        <v>781</v>
      </c>
      <c r="S107" s="67">
        <v>15865656860</v>
      </c>
      <c r="T107" s="80" t="s">
        <v>56</v>
      </c>
      <c r="U107" s="80"/>
      <c r="V107" s="177"/>
      <c r="W107" s="80" t="str">
        <f>IF(OR(studentdata[[#This Row],[Weekend 2025]]&lt;&gt;""),"Yes","")</f>
        <v/>
      </c>
      <c r="X107" s="80"/>
      <c r="Y107" s="80" t="str">
        <f>IF(OR(studentdata[[#This Row],[Evening 2025]]&lt;&gt;""),"Yes","")</f>
        <v/>
      </c>
      <c r="Z107" s="80"/>
      <c r="AA107" s="80"/>
      <c r="AB107" s="80" t="str">
        <f>IF(OR(studentdata[[#This Row],[Weekend 2025 Enrolled]]="Yes",studentdata[[#This Row],[Evening 2025 Enrolled]]="Yes"),"Yes","")</f>
        <v/>
      </c>
    </row>
    <row r="108" spans="1:28" x14ac:dyDescent="0.25">
      <c r="A108" s="80">
        <v>6</v>
      </c>
      <c r="C108" s="67" t="s">
        <v>262</v>
      </c>
      <c r="D108" s="67" t="s">
        <v>68</v>
      </c>
      <c r="E108" s="67" t="s">
        <v>69</v>
      </c>
      <c r="F108" s="67">
        <v>48092</v>
      </c>
      <c r="G108" s="67" t="s">
        <v>263</v>
      </c>
      <c r="I108" s="67"/>
      <c r="J108" s="67"/>
      <c r="M108" s="80">
        <v>107</v>
      </c>
      <c r="N108" s="67" t="s">
        <v>461</v>
      </c>
      <c r="O108" s="80">
        <v>65</v>
      </c>
      <c r="P108" s="67" t="s">
        <v>265</v>
      </c>
      <c r="Q108" s="67">
        <v>13135023339</v>
      </c>
      <c r="R108" s="67" t="s">
        <v>266</v>
      </c>
      <c r="S108" s="67">
        <v>13133277794</v>
      </c>
      <c r="T108" s="80" t="s">
        <v>56</v>
      </c>
      <c r="U108" s="80" t="s">
        <v>171</v>
      </c>
      <c r="V108" s="177" t="s">
        <v>137</v>
      </c>
      <c r="W108" s="80" t="str">
        <f>IF(OR(studentdata[[#This Row],[Weekend 2025]]&lt;&gt;""),"Yes","")</f>
        <v>Yes</v>
      </c>
      <c r="X108" s="80">
        <v>12</v>
      </c>
      <c r="Y108" s="80" t="str">
        <f>IF(OR(studentdata[[#This Row],[Evening 2025]]&lt;&gt;""),"Yes","")</f>
        <v/>
      </c>
      <c r="Z108" s="80"/>
      <c r="AA108" s="80"/>
      <c r="AB108" s="80" t="str">
        <f>IF(OR(studentdata[[#This Row],[Weekend 2025 Enrolled]]="Yes",studentdata[[#This Row],[Evening 2025 Enrolled]]="Yes"),"Yes","")</f>
        <v>Yes</v>
      </c>
    </row>
    <row r="109" spans="1:28" x14ac:dyDescent="0.25">
      <c r="A109" s="80">
        <v>7</v>
      </c>
      <c r="C109" s="67" t="s">
        <v>262</v>
      </c>
      <c r="D109" s="67" t="s">
        <v>68</v>
      </c>
      <c r="E109" s="67" t="s">
        <v>69</v>
      </c>
      <c r="F109" s="67">
        <v>48092</v>
      </c>
      <c r="G109" s="67" t="s">
        <v>263</v>
      </c>
      <c r="I109" s="67"/>
      <c r="J109" s="67"/>
      <c r="M109" s="80">
        <v>108</v>
      </c>
      <c r="N109" s="67" t="s">
        <v>484</v>
      </c>
      <c r="O109" s="80">
        <v>65</v>
      </c>
      <c r="P109" s="67" t="s">
        <v>265</v>
      </c>
      <c r="Q109" s="67">
        <v>13135023339</v>
      </c>
      <c r="R109" s="67" t="s">
        <v>266</v>
      </c>
      <c r="S109" s="67">
        <v>13133277794</v>
      </c>
      <c r="T109" s="80" t="s">
        <v>56</v>
      </c>
      <c r="U109" s="80" t="s">
        <v>95</v>
      </c>
      <c r="V109" s="177" t="s">
        <v>142</v>
      </c>
      <c r="W109" s="80" t="str">
        <f>IF(OR(studentdata[[#This Row],[Weekend 2025]]&lt;&gt;""),"Yes","")</f>
        <v>Yes</v>
      </c>
      <c r="X109" s="80">
        <v>9</v>
      </c>
      <c r="Y109" s="80" t="str">
        <f>IF(OR(studentdata[[#This Row],[Evening 2025]]&lt;&gt;""),"Yes","")</f>
        <v/>
      </c>
      <c r="Z109" s="80"/>
      <c r="AA109" s="80"/>
      <c r="AB109" s="80" t="str">
        <f>IF(OR(studentdata[[#This Row],[Weekend 2025 Enrolled]]="Yes",studentdata[[#This Row],[Evening 2025 Enrolled]]="Yes"),"Yes","")</f>
        <v>Yes</v>
      </c>
    </row>
    <row r="110" spans="1:28" x14ac:dyDescent="0.25">
      <c r="A110" s="80">
        <v>13</v>
      </c>
      <c r="C110" s="67" t="s">
        <v>262</v>
      </c>
      <c r="D110" s="67" t="s">
        <v>68</v>
      </c>
      <c r="E110" s="67" t="s">
        <v>69</v>
      </c>
      <c r="F110" s="67">
        <v>48092</v>
      </c>
      <c r="G110" s="67" t="s">
        <v>263</v>
      </c>
      <c r="I110" s="67"/>
      <c r="J110" s="67"/>
      <c r="M110" s="80">
        <v>109</v>
      </c>
      <c r="N110" s="67" t="s">
        <v>264</v>
      </c>
      <c r="O110" s="80">
        <v>65</v>
      </c>
      <c r="P110" s="67" t="s">
        <v>265</v>
      </c>
      <c r="Q110" s="67">
        <v>13135023339</v>
      </c>
      <c r="R110" s="67" t="s">
        <v>266</v>
      </c>
      <c r="S110" s="67">
        <v>13133277794</v>
      </c>
      <c r="T110" s="80" t="s">
        <v>56</v>
      </c>
      <c r="U110" s="80" t="s">
        <v>109</v>
      </c>
      <c r="V110" s="177">
        <v>3</v>
      </c>
      <c r="W110" s="80" t="str">
        <f>IF(OR(studentdata[[#This Row],[Weekend 2025]]&lt;&gt;""),"Yes","")</f>
        <v>Yes</v>
      </c>
      <c r="X110" s="80">
        <v>1</v>
      </c>
      <c r="Y110" s="80" t="str">
        <f>IF(OR(studentdata[[#This Row],[Evening 2025]]&lt;&gt;""),"Yes","")</f>
        <v/>
      </c>
      <c r="Z110" s="80"/>
      <c r="AA110" s="80"/>
      <c r="AB110" s="80" t="str">
        <f>IF(OR(studentdata[[#This Row],[Weekend 2025 Enrolled]]="Yes",studentdata[[#This Row],[Evening 2025 Enrolled]]="Yes"),"Yes","")</f>
        <v>Yes</v>
      </c>
    </row>
    <row r="111" spans="1:28" x14ac:dyDescent="0.25">
      <c r="A111" s="80">
        <v>8</v>
      </c>
      <c r="C111" s="67" t="s">
        <v>472</v>
      </c>
      <c r="D111" s="67" t="s">
        <v>68</v>
      </c>
      <c r="E111" s="67" t="s">
        <v>69</v>
      </c>
      <c r="F111" s="67">
        <v>48091</v>
      </c>
      <c r="G111" s="67" t="s">
        <v>473</v>
      </c>
      <c r="I111" s="67"/>
      <c r="J111" s="67"/>
      <c r="M111" s="80">
        <v>110</v>
      </c>
      <c r="N111" s="67" t="s">
        <v>474</v>
      </c>
      <c r="O111" s="80">
        <v>66</v>
      </c>
      <c r="P111" s="67" t="s">
        <v>475</v>
      </c>
      <c r="Q111" s="67">
        <v>15862221281</v>
      </c>
      <c r="R111" s="67" t="s">
        <v>476</v>
      </c>
      <c r="S111" s="67">
        <v>15863546134</v>
      </c>
      <c r="T111" s="80" t="s">
        <v>56</v>
      </c>
      <c r="U111" s="80" t="s">
        <v>80</v>
      </c>
      <c r="V111" s="177" t="s">
        <v>142</v>
      </c>
      <c r="W111" s="80" t="str">
        <f>IF(OR(studentdata[[#This Row],[Weekend 2025]]&lt;&gt;""),"Yes","")</f>
        <v>Yes</v>
      </c>
      <c r="X111" s="80">
        <v>2</v>
      </c>
      <c r="Y111" s="80" t="str">
        <f>IF(OR(studentdata[[#This Row],[Evening 2025]]&lt;&gt;""),"Yes","")</f>
        <v/>
      </c>
      <c r="Z111" s="80"/>
      <c r="AA111" s="80"/>
      <c r="AB111" s="80" t="str">
        <f>IF(OR(studentdata[[#This Row],[Weekend 2025 Enrolled]]="Yes",studentdata[[#This Row],[Evening 2025 Enrolled]]="Yes"),"Yes","")</f>
        <v>Yes</v>
      </c>
    </row>
    <row r="112" spans="1:28" x14ac:dyDescent="0.25">
      <c r="A112" s="80">
        <v>10</v>
      </c>
      <c r="C112" s="67" t="s">
        <v>782</v>
      </c>
      <c r="D112" s="67" t="s">
        <v>68</v>
      </c>
      <c r="E112" s="67" t="s">
        <v>69</v>
      </c>
      <c r="F112" s="67">
        <v>48093</v>
      </c>
      <c r="G112" s="67" t="s">
        <v>783</v>
      </c>
      <c r="H112" s="67" t="s">
        <v>784</v>
      </c>
      <c r="I112" s="67" t="s">
        <v>165</v>
      </c>
      <c r="J112" s="67">
        <v>13134153021</v>
      </c>
      <c r="M112" s="80">
        <v>111</v>
      </c>
      <c r="N112" s="67" t="s">
        <v>785</v>
      </c>
      <c r="O112" s="80">
        <v>67</v>
      </c>
      <c r="P112" s="67" t="s">
        <v>786</v>
      </c>
      <c r="Q112" s="67">
        <v>13134552514</v>
      </c>
      <c r="R112" s="67" t="s">
        <v>787</v>
      </c>
      <c r="T112" s="80" t="s">
        <v>56</v>
      </c>
      <c r="U112" s="80" t="s">
        <v>52</v>
      </c>
      <c r="V112" s="177"/>
      <c r="W112" s="80" t="str">
        <f>IF(OR(studentdata[[#This Row],[Weekend 2025]]&lt;&gt;""),"Yes","")</f>
        <v/>
      </c>
      <c r="X112" s="80"/>
      <c r="Y112" s="80" t="str">
        <f>IF(OR(studentdata[[#This Row],[Evening 2025]]&lt;&gt;""),"Yes","")</f>
        <v/>
      </c>
      <c r="Z112" s="80"/>
      <c r="AA112" s="80"/>
      <c r="AB112" s="80" t="str">
        <f>IF(OR(studentdata[[#This Row],[Weekend 2025 Enrolled]]="Yes",studentdata[[#This Row],[Evening 2025 Enrolled]]="Yes"),"Yes","")</f>
        <v/>
      </c>
    </row>
    <row r="113" spans="1:28" x14ac:dyDescent="0.25">
      <c r="A113" s="80">
        <v>7</v>
      </c>
      <c r="C113" s="67" t="s">
        <v>342</v>
      </c>
      <c r="D113" s="67" t="s">
        <v>68</v>
      </c>
      <c r="E113" s="67" t="s">
        <v>69</v>
      </c>
      <c r="F113" s="67">
        <v>48092</v>
      </c>
      <c r="I113" s="67"/>
      <c r="J113" s="67"/>
      <c r="M113" s="80">
        <v>112</v>
      </c>
      <c r="N113" s="67" t="s">
        <v>343</v>
      </c>
      <c r="O113" s="80">
        <v>68</v>
      </c>
      <c r="P113" s="67" t="s">
        <v>344</v>
      </c>
      <c r="Q113" s="67">
        <v>13138060384</v>
      </c>
      <c r="R113" s="67" t="s">
        <v>345</v>
      </c>
      <c r="T113" s="80" t="s">
        <v>56</v>
      </c>
      <c r="U113" s="80" t="s">
        <v>57</v>
      </c>
      <c r="V113" s="177">
        <v>4</v>
      </c>
      <c r="W113" s="80" t="str">
        <f>IF(OR(studentdata[[#This Row],[Weekend 2025]]&lt;&gt;""),"Yes","")</f>
        <v>Yes</v>
      </c>
      <c r="X113" s="80">
        <v>6</v>
      </c>
      <c r="Y113" s="80" t="str">
        <f>IF(OR(studentdata[[#This Row],[Evening 2025]]&lt;&gt;""),"Yes","")</f>
        <v/>
      </c>
      <c r="Z113" s="80"/>
      <c r="AA113" s="80"/>
      <c r="AB113" s="80" t="str">
        <f>IF(OR(studentdata[[#This Row],[Weekend 2025 Enrolled]]="Yes",studentdata[[#This Row],[Evening 2025 Enrolled]]="Yes"),"Yes","")</f>
        <v>Yes</v>
      </c>
    </row>
    <row r="114" spans="1:28" x14ac:dyDescent="0.25">
      <c r="A114" s="80">
        <v>7</v>
      </c>
      <c r="C114" s="67" t="s">
        <v>788</v>
      </c>
      <c r="D114" s="67" t="s">
        <v>68</v>
      </c>
      <c r="E114" s="67" t="s">
        <v>69</v>
      </c>
      <c r="F114" s="67">
        <v>48091</v>
      </c>
      <c r="G114" s="67" t="s">
        <v>789</v>
      </c>
      <c r="I114" s="67"/>
      <c r="J114" s="67"/>
      <c r="M114" s="80">
        <v>114</v>
      </c>
      <c r="N114" s="67" t="s">
        <v>790</v>
      </c>
      <c r="O114" s="80">
        <v>70</v>
      </c>
      <c r="P114" s="67" t="s">
        <v>791</v>
      </c>
      <c r="Q114" s="67">
        <v>12489228429</v>
      </c>
      <c r="T114" s="80" t="s">
        <v>56</v>
      </c>
      <c r="U114" s="80" t="s">
        <v>95</v>
      </c>
      <c r="V114" s="177"/>
      <c r="W114" s="80" t="str">
        <f>IF(OR(studentdata[[#This Row],[Weekend 2025]]&lt;&gt;""),"Yes","")</f>
        <v/>
      </c>
      <c r="X114" s="80"/>
      <c r="Y114" s="80" t="str">
        <f>IF(OR(studentdata[[#This Row],[Evening 2025]]&lt;&gt;""),"Yes","")</f>
        <v/>
      </c>
      <c r="Z114" s="80"/>
      <c r="AA114" s="80"/>
      <c r="AB114" s="80" t="str">
        <f>IF(OR(studentdata[[#This Row],[Weekend 2025 Enrolled]]="Yes",studentdata[[#This Row],[Evening 2025 Enrolled]]="Yes"),"Yes","")</f>
        <v/>
      </c>
    </row>
    <row r="115" spans="1:28" x14ac:dyDescent="0.25">
      <c r="A115" s="80">
        <v>5</v>
      </c>
      <c r="C115" s="67" t="s">
        <v>788</v>
      </c>
      <c r="D115" s="67" t="s">
        <v>68</v>
      </c>
      <c r="E115" s="67" t="s">
        <v>69</v>
      </c>
      <c r="F115" s="67">
        <v>48091</v>
      </c>
      <c r="G115" s="67" t="s">
        <v>789</v>
      </c>
      <c r="I115" s="67"/>
      <c r="J115" s="67"/>
      <c r="M115" s="80">
        <v>115</v>
      </c>
      <c r="N115" s="67" t="s">
        <v>792</v>
      </c>
      <c r="O115" s="80">
        <v>70</v>
      </c>
      <c r="P115" s="67" t="s">
        <v>791</v>
      </c>
      <c r="Q115" s="67">
        <v>12489228429</v>
      </c>
      <c r="T115" s="80" t="s">
        <v>56</v>
      </c>
      <c r="U115" s="80" t="s">
        <v>171</v>
      </c>
      <c r="V115" s="177"/>
      <c r="W115" s="80" t="str">
        <f>IF(OR(studentdata[[#This Row],[Weekend 2025]]&lt;&gt;""),"Yes","")</f>
        <v/>
      </c>
      <c r="X115" s="80"/>
      <c r="Y115" s="80" t="str">
        <f>IF(OR(studentdata[[#This Row],[Evening 2025]]&lt;&gt;""),"Yes","")</f>
        <v/>
      </c>
      <c r="Z115" s="80"/>
      <c r="AA115" s="80"/>
      <c r="AB115" s="80" t="str">
        <f>IF(OR(studentdata[[#This Row],[Weekend 2025 Enrolled]]="Yes",studentdata[[#This Row],[Evening 2025 Enrolled]]="Yes"),"Yes","")</f>
        <v/>
      </c>
    </row>
    <row r="116" spans="1:28" x14ac:dyDescent="0.25">
      <c r="A116" s="80">
        <v>10</v>
      </c>
      <c r="B116" s="67" t="s">
        <v>162</v>
      </c>
      <c r="C116" s="67" t="s">
        <v>610</v>
      </c>
      <c r="D116" s="67" t="s">
        <v>68</v>
      </c>
      <c r="E116" s="67" t="s">
        <v>69</v>
      </c>
      <c r="F116" s="67">
        <v>48091</v>
      </c>
      <c r="I116" s="67"/>
      <c r="J116" s="67"/>
      <c r="M116" s="80">
        <v>116</v>
      </c>
      <c r="N116" s="67" t="s">
        <v>611</v>
      </c>
      <c r="O116" s="80">
        <v>71</v>
      </c>
      <c r="P116" s="67" t="s">
        <v>612</v>
      </c>
      <c r="Q116" s="67">
        <v>5863036606</v>
      </c>
      <c r="R116" s="67" t="s">
        <v>613</v>
      </c>
      <c r="T116" s="80" t="s">
        <v>46</v>
      </c>
      <c r="U116" s="80" t="s">
        <v>85</v>
      </c>
      <c r="V116" s="177">
        <v>4</v>
      </c>
      <c r="W116" s="80" t="str">
        <f>IF(OR(studentdata[[#This Row],[Weekend 2025]]&lt;&gt;""),"Yes","")</f>
        <v>Yes</v>
      </c>
      <c r="X116" s="80">
        <v>16</v>
      </c>
      <c r="Y116" s="80" t="str">
        <f>IF(OR(studentdata[[#This Row],[Evening 2025]]&lt;&gt;""),"Yes","")</f>
        <v/>
      </c>
      <c r="Z116" s="80"/>
      <c r="AA116" s="80"/>
      <c r="AB116" s="80" t="str">
        <f>IF(OR(studentdata[[#This Row],[Weekend 2025 Enrolled]]="Yes",studentdata[[#This Row],[Evening 2025 Enrolled]]="Yes"),"Yes","")</f>
        <v>Yes</v>
      </c>
    </row>
    <row r="117" spans="1:28" x14ac:dyDescent="0.25">
      <c r="A117" s="80">
        <v>10</v>
      </c>
      <c r="C117" s="67" t="s">
        <v>68</v>
      </c>
      <c r="D117" s="67" t="s">
        <v>68</v>
      </c>
      <c r="E117" s="67" t="s">
        <v>69</v>
      </c>
      <c r="F117" s="67">
        <v>48092</v>
      </c>
      <c r="G117" s="67" t="s">
        <v>336</v>
      </c>
      <c r="H117" s="67" t="s">
        <v>337</v>
      </c>
      <c r="I117" s="67" t="s">
        <v>338</v>
      </c>
      <c r="J117" s="67">
        <v>13136031532</v>
      </c>
      <c r="K117" s="67">
        <v>13136039921</v>
      </c>
      <c r="M117" s="80">
        <v>117</v>
      </c>
      <c r="N117" s="67" t="s">
        <v>339</v>
      </c>
      <c r="O117" s="80">
        <v>72</v>
      </c>
      <c r="P117" s="67" t="s">
        <v>340</v>
      </c>
      <c r="Q117" s="67">
        <v>13136031532</v>
      </c>
      <c r="R117" s="67" t="s">
        <v>341</v>
      </c>
      <c r="S117" s="67">
        <v>13136039921</v>
      </c>
      <c r="T117" s="80" t="s">
        <v>56</v>
      </c>
      <c r="U117" s="80" t="s">
        <v>85</v>
      </c>
      <c r="V117" s="177">
        <v>4</v>
      </c>
      <c r="W117" s="80" t="str">
        <f>IF(OR(studentdata[[#This Row],[Weekend 2025]]&lt;&gt;""),"Yes","")</f>
        <v>Yes</v>
      </c>
      <c r="X117" s="80">
        <v>5</v>
      </c>
      <c r="Y117" s="80" t="str">
        <f>IF(OR(studentdata[[#This Row],[Evening 2025]]&lt;&gt;""),"Yes","")</f>
        <v/>
      </c>
      <c r="Z117" s="80"/>
      <c r="AA117" s="80"/>
      <c r="AB117" s="80" t="str">
        <f>IF(OR(studentdata[[#This Row],[Weekend 2025 Enrolled]]="Yes",studentdata[[#This Row],[Evening 2025 Enrolled]]="Yes"),"Yes","")</f>
        <v>Yes</v>
      </c>
    </row>
    <row r="118" spans="1:28" x14ac:dyDescent="0.25">
      <c r="A118" s="80">
        <v>7</v>
      </c>
      <c r="C118" s="67" t="s">
        <v>68</v>
      </c>
      <c r="D118" s="67" t="s">
        <v>68</v>
      </c>
      <c r="E118" s="67" t="s">
        <v>69</v>
      </c>
      <c r="F118" s="67">
        <v>48092</v>
      </c>
      <c r="G118" s="67" t="s">
        <v>336</v>
      </c>
      <c r="H118" s="67" t="s">
        <v>337</v>
      </c>
      <c r="I118" s="67" t="s">
        <v>338</v>
      </c>
      <c r="J118" s="67">
        <v>13136031532</v>
      </c>
      <c r="K118" s="67">
        <v>13136039921</v>
      </c>
      <c r="M118" s="80">
        <v>118</v>
      </c>
      <c r="N118" s="67" t="s">
        <v>990</v>
      </c>
      <c r="O118" s="80">
        <v>72</v>
      </c>
      <c r="P118" s="67" t="s">
        <v>340</v>
      </c>
      <c r="Q118" s="67">
        <v>13136031532</v>
      </c>
      <c r="R118" s="67" t="s">
        <v>341</v>
      </c>
      <c r="S118" s="67">
        <v>13136039921</v>
      </c>
      <c r="T118" s="80" t="s">
        <v>46</v>
      </c>
      <c r="U118" s="80" t="s">
        <v>95</v>
      </c>
      <c r="V118" s="177"/>
      <c r="W118" s="80" t="str">
        <f>IF(OR(studentdata[[#This Row],[Weekend 2025]]&lt;&gt;""),"Yes","")</f>
        <v/>
      </c>
      <c r="X118" s="80"/>
      <c r="Y118" s="80" t="str">
        <f>IF(OR(studentdata[[#This Row],[Evening 2025]]&lt;&gt;""),"Yes","")</f>
        <v/>
      </c>
      <c r="Z118" s="80"/>
      <c r="AA118" s="80"/>
      <c r="AB118" s="80" t="str">
        <f>IF(OR(studentdata[[#This Row],[Weekend 2025 Enrolled]]="Yes",studentdata[[#This Row],[Evening 2025 Enrolled]]="Yes"),"Yes","")</f>
        <v/>
      </c>
    </row>
    <row r="119" spans="1:28" x14ac:dyDescent="0.25">
      <c r="A119" s="80">
        <v>10</v>
      </c>
      <c r="B119" s="67" t="s">
        <v>45</v>
      </c>
      <c r="C119" s="67" t="s">
        <v>681</v>
      </c>
      <c r="D119" s="67" t="s">
        <v>68</v>
      </c>
      <c r="E119" s="67" t="s">
        <v>69</v>
      </c>
      <c r="F119" s="67">
        <v>48091</v>
      </c>
      <c r="G119" s="67" t="s">
        <v>682</v>
      </c>
      <c r="H119" s="67" t="s">
        <v>683</v>
      </c>
      <c r="I119" s="67" t="s">
        <v>75</v>
      </c>
      <c r="J119" s="67">
        <v>12484347972</v>
      </c>
      <c r="M119" s="80">
        <v>119</v>
      </c>
      <c r="N119" s="67" t="s">
        <v>684</v>
      </c>
      <c r="O119" s="80">
        <v>73</v>
      </c>
      <c r="P119" s="67" t="s">
        <v>685</v>
      </c>
      <c r="Q119" s="67">
        <v>13134232232</v>
      </c>
      <c r="R119" s="67" t="s">
        <v>686</v>
      </c>
      <c r="T119" s="80" t="s">
        <v>46</v>
      </c>
      <c r="U119" s="80" t="s">
        <v>52</v>
      </c>
      <c r="V119" s="177" t="s">
        <v>142</v>
      </c>
      <c r="W119" s="80" t="str">
        <f>IF(OR(studentdata[[#This Row],[Weekend 2025]]&lt;&gt;""),"Yes","")</f>
        <v>Yes</v>
      </c>
      <c r="X119" s="80">
        <v>7</v>
      </c>
      <c r="Y119" s="80" t="str">
        <f>IF(OR(studentdata[[#This Row],[Evening 2025]]&lt;&gt;""),"Yes","")</f>
        <v/>
      </c>
      <c r="Z119" s="80"/>
      <c r="AA119" s="80"/>
      <c r="AB119" s="80" t="str">
        <f>IF(OR(studentdata[[#This Row],[Weekend 2025 Enrolled]]="Yes",studentdata[[#This Row],[Evening 2025 Enrolled]]="Yes"),"Yes","")</f>
        <v>Yes</v>
      </c>
    </row>
    <row r="120" spans="1:28" x14ac:dyDescent="0.25">
      <c r="A120" s="80">
        <v>8</v>
      </c>
      <c r="B120" s="67" t="s">
        <v>45</v>
      </c>
      <c r="C120" s="67" t="s">
        <v>673</v>
      </c>
      <c r="D120" s="67" t="s">
        <v>68</v>
      </c>
      <c r="E120" s="67" t="s">
        <v>69</v>
      </c>
      <c r="F120" s="67">
        <v>48091</v>
      </c>
      <c r="H120" s="67" t="s">
        <v>674</v>
      </c>
      <c r="I120" s="67" t="s">
        <v>75</v>
      </c>
      <c r="J120" s="67"/>
      <c r="K120" s="67">
        <v>13136038359</v>
      </c>
      <c r="M120" s="80">
        <v>120</v>
      </c>
      <c r="N120" s="67" t="s">
        <v>675</v>
      </c>
      <c r="O120" s="80">
        <v>74</v>
      </c>
      <c r="P120" s="67" t="s">
        <v>676</v>
      </c>
      <c r="Q120" s="67">
        <v>13134527306</v>
      </c>
      <c r="R120" s="67" t="s">
        <v>677</v>
      </c>
      <c r="S120" s="67">
        <v>13134195861</v>
      </c>
      <c r="T120" s="80" t="s">
        <v>46</v>
      </c>
      <c r="U120" s="80" t="s">
        <v>80</v>
      </c>
      <c r="V120" s="177" t="s">
        <v>142</v>
      </c>
      <c r="W120" s="80" t="str">
        <f>IF(OR(studentdata[[#This Row],[Weekend 2025]]&lt;&gt;""),"Yes","")</f>
        <v>Yes</v>
      </c>
      <c r="X120" s="80">
        <v>3</v>
      </c>
      <c r="Y120" s="80" t="str">
        <f>IF(OR(studentdata[[#This Row],[Evening 2025]]&lt;&gt;""),"Yes","")</f>
        <v/>
      </c>
      <c r="Z120" s="80"/>
      <c r="AA120" s="80"/>
      <c r="AB120" s="80" t="str">
        <f>IF(OR(studentdata[[#This Row],[Weekend 2025 Enrolled]]="Yes",studentdata[[#This Row],[Evening 2025 Enrolled]]="Yes"),"Yes","")</f>
        <v>Yes</v>
      </c>
    </row>
    <row r="121" spans="1:28" x14ac:dyDescent="0.25">
      <c r="A121" s="80">
        <v>6</v>
      </c>
      <c r="B121" s="67" t="s">
        <v>45</v>
      </c>
      <c r="C121" s="67" t="s">
        <v>673</v>
      </c>
      <c r="D121" s="67" t="s">
        <v>68</v>
      </c>
      <c r="E121" s="67" t="s">
        <v>69</v>
      </c>
      <c r="F121" s="67">
        <v>48091</v>
      </c>
      <c r="H121" s="67" t="s">
        <v>674</v>
      </c>
      <c r="I121" s="67" t="s">
        <v>75</v>
      </c>
      <c r="J121" s="67"/>
      <c r="K121" s="67">
        <v>13136038359</v>
      </c>
      <c r="M121" s="80">
        <v>121</v>
      </c>
      <c r="N121" s="67" t="s">
        <v>678</v>
      </c>
      <c r="O121" s="80">
        <v>74</v>
      </c>
      <c r="P121" s="67" t="s">
        <v>676</v>
      </c>
      <c r="Q121" s="67">
        <v>13134527306</v>
      </c>
      <c r="R121" s="67" t="s">
        <v>677</v>
      </c>
      <c r="S121" s="67">
        <v>13134195861</v>
      </c>
      <c r="T121" s="80" t="s">
        <v>46</v>
      </c>
      <c r="U121" s="80" t="s">
        <v>57</v>
      </c>
      <c r="V121" s="177" t="s">
        <v>142</v>
      </c>
      <c r="W121" s="80" t="str">
        <f>IF(OR(studentdata[[#This Row],[Weekend 2025]]&lt;&gt;""),"Yes","")</f>
        <v>Yes</v>
      </c>
      <c r="X121" s="80">
        <v>4</v>
      </c>
      <c r="Y121" s="80" t="str">
        <f>IF(OR(studentdata[[#This Row],[Evening 2025]]&lt;&gt;""),"Yes","")</f>
        <v/>
      </c>
      <c r="Z121" s="80"/>
      <c r="AA121" s="80"/>
      <c r="AB121" s="80" t="str">
        <f>IF(OR(studentdata[[#This Row],[Weekend 2025 Enrolled]]="Yes",studentdata[[#This Row],[Evening 2025 Enrolled]]="Yes"),"Yes","")</f>
        <v>Yes</v>
      </c>
    </row>
    <row r="122" spans="1:28" x14ac:dyDescent="0.25">
      <c r="A122" s="80">
        <v>7</v>
      </c>
      <c r="B122" s="67" t="s">
        <v>45</v>
      </c>
      <c r="C122" s="67" t="s">
        <v>793</v>
      </c>
      <c r="D122" s="67" t="s">
        <v>68</v>
      </c>
      <c r="E122" s="67" t="s">
        <v>69</v>
      </c>
      <c r="F122" s="67">
        <v>48091</v>
      </c>
      <c r="G122" s="67" t="s">
        <v>794</v>
      </c>
      <c r="I122" s="67"/>
      <c r="J122" s="67"/>
      <c r="M122" s="80">
        <v>122</v>
      </c>
      <c r="N122" s="67" t="s">
        <v>927</v>
      </c>
      <c r="O122" s="80">
        <v>75</v>
      </c>
      <c r="P122" s="67" t="s">
        <v>796</v>
      </c>
      <c r="Q122" s="67">
        <v>13169907462</v>
      </c>
      <c r="R122" s="67" t="s">
        <v>797</v>
      </c>
      <c r="S122" s="67">
        <v>13168075354</v>
      </c>
      <c r="T122" s="80" t="s">
        <v>46</v>
      </c>
      <c r="U122" s="80" t="s">
        <v>80</v>
      </c>
      <c r="V122" s="177" t="s">
        <v>142</v>
      </c>
      <c r="W122" s="80" t="str">
        <f>IF(OR(studentdata[[#This Row],[Weekend 2025]]&lt;&gt;""),"Yes","")</f>
        <v/>
      </c>
      <c r="X122" s="80"/>
      <c r="Y122" s="80" t="str">
        <f>IF(OR(studentdata[[#This Row],[Evening 2025]]&lt;&gt;""),"Yes","")</f>
        <v/>
      </c>
      <c r="Z122" s="80"/>
      <c r="AA122" s="80"/>
      <c r="AB122" s="80" t="str">
        <f>IF(OR(studentdata[[#This Row],[Weekend 2025 Enrolled]]="Yes",studentdata[[#This Row],[Evening 2025 Enrolled]]="Yes"),"Yes","")</f>
        <v/>
      </c>
    </row>
    <row r="123" spans="1:28" x14ac:dyDescent="0.25">
      <c r="A123" s="80">
        <v>11</v>
      </c>
      <c r="C123" s="67" t="s">
        <v>793</v>
      </c>
      <c r="D123" s="67" t="s">
        <v>68</v>
      </c>
      <c r="E123" s="67" t="s">
        <v>69</v>
      </c>
      <c r="F123" s="67">
        <v>48091</v>
      </c>
      <c r="G123" s="67" t="s">
        <v>794</v>
      </c>
      <c r="I123" s="67"/>
      <c r="J123" s="67"/>
      <c r="M123" s="80">
        <v>123</v>
      </c>
      <c r="N123" s="67" t="s">
        <v>795</v>
      </c>
      <c r="O123" s="80">
        <v>75</v>
      </c>
      <c r="P123" s="67" t="s">
        <v>796</v>
      </c>
      <c r="Q123" s="67">
        <v>13169907462</v>
      </c>
      <c r="R123" s="67" t="s">
        <v>797</v>
      </c>
      <c r="S123" s="67">
        <v>13168075354</v>
      </c>
      <c r="T123" s="80" t="s">
        <v>56</v>
      </c>
      <c r="U123" s="80" t="s">
        <v>156</v>
      </c>
      <c r="V123" s="177"/>
      <c r="W123" s="80" t="str">
        <f>IF(OR(studentdata[[#This Row],[Weekend 2025]]&lt;&gt;""),"Yes","")</f>
        <v/>
      </c>
      <c r="X123" s="80"/>
      <c r="Y123" s="80" t="str">
        <f>IF(OR(studentdata[[#This Row],[Evening 2025]]&lt;&gt;""),"Yes","")</f>
        <v/>
      </c>
      <c r="Z123" s="80"/>
      <c r="AA123" s="80"/>
      <c r="AB123" s="80" t="str">
        <f>IF(OR(studentdata[[#This Row],[Weekend 2025 Enrolled]]="Yes",studentdata[[#This Row],[Evening 2025 Enrolled]]="Yes"),"Yes","")</f>
        <v/>
      </c>
    </row>
    <row r="124" spans="1:28" x14ac:dyDescent="0.25">
      <c r="A124" s="80">
        <v>16</v>
      </c>
      <c r="C124" s="67" t="s">
        <v>913</v>
      </c>
      <c r="D124" s="67" t="s">
        <v>68</v>
      </c>
      <c r="E124" s="67" t="s">
        <v>69</v>
      </c>
      <c r="F124" s="67">
        <v>48093</v>
      </c>
      <c r="G124" s="67" t="s">
        <v>914</v>
      </c>
      <c r="H124" s="67" t="s">
        <v>915</v>
      </c>
      <c r="I124" s="67" t="s">
        <v>595</v>
      </c>
      <c r="J124" s="67">
        <v>13134558013</v>
      </c>
      <c r="M124" s="80">
        <v>124</v>
      </c>
      <c r="N124" s="67" t="s">
        <v>916</v>
      </c>
      <c r="O124" s="80">
        <v>76</v>
      </c>
      <c r="P124" s="67" t="s">
        <v>917</v>
      </c>
      <c r="Q124" s="67">
        <v>13133206863</v>
      </c>
      <c r="R124" s="67" t="s">
        <v>918</v>
      </c>
      <c r="S124" s="67">
        <v>13133207833</v>
      </c>
      <c r="T124" s="80" t="s">
        <v>46</v>
      </c>
      <c r="U124" s="80" t="s">
        <v>190</v>
      </c>
      <c r="V124" s="177">
        <v>4</v>
      </c>
      <c r="W124" s="80" t="str">
        <f>IF(OR(studentdata[[#This Row],[Weekend 2025]]&lt;&gt;""),"Yes","")</f>
        <v/>
      </c>
      <c r="X124" s="80"/>
      <c r="Y124" s="80" t="str">
        <f>IF(OR(studentdata[[#This Row],[Evening 2025]]&lt;&gt;""),"Yes","")</f>
        <v/>
      </c>
      <c r="Z124" s="80"/>
      <c r="AA124" s="80"/>
      <c r="AB124" s="80" t="str">
        <f>IF(OR(studentdata[[#This Row],[Weekend 2025 Enrolled]]="Yes",studentdata[[#This Row],[Evening 2025 Enrolled]]="Yes"),"Yes","")</f>
        <v/>
      </c>
    </row>
    <row r="125" spans="1:28" x14ac:dyDescent="0.25">
      <c r="A125" s="80">
        <v>9</v>
      </c>
      <c r="C125" s="67" t="s">
        <v>225</v>
      </c>
      <c r="D125" s="67" t="s">
        <v>68</v>
      </c>
      <c r="E125" s="67" t="s">
        <v>69</v>
      </c>
      <c r="F125" s="67">
        <v>48089</v>
      </c>
      <c r="G125" s="67" t="s">
        <v>226</v>
      </c>
      <c r="I125" s="67"/>
      <c r="J125" s="67"/>
      <c r="M125" s="80">
        <v>125</v>
      </c>
      <c r="N125" s="67" t="s">
        <v>227</v>
      </c>
      <c r="O125" s="80">
        <v>77</v>
      </c>
      <c r="P125" s="67" t="s">
        <v>228</v>
      </c>
      <c r="Q125" s="67">
        <v>13137185345</v>
      </c>
      <c r="R125" s="67" t="s">
        <v>229</v>
      </c>
      <c r="T125" s="80" t="s">
        <v>56</v>
      </c>
      <c r="U125" s="80"/>
      <c r="V125" s="177">
        <v>2</v>
      </c>
      <c r="W125" s="80" t="str">
        <f>IF(OR(studentdata[[#This Row],[Weekend 2025]]&lt;&gt;""),"Yes","")</f>
        <v>Yes</v>
      </c>
      <c r="X125" s="80">
        <v>8</v>
      </c>
      <c r="Y125" s="80" t="str">
        <f>IF(OR(studentdata[[#This Row],[Evening 2025]]&lt;&gt;""),"Yes","")</f>
        <v/>
      </c>
      <c r="Z125" s="80"/>
      <c r="AA125" s="80"/>
      <c r="AB125" s="80" t="str">
        <f>IF(OR(studentdata[[#This Row],[Weekend 2025 Enrolled]]="Yes",studentdata[[#This Row],[Evening 2025 Enrolled]]="Yes"),"Yes","")</f>
        <v>Yes</v>
      </c>
    </row>
    <row r="126" spans="1:28" x14ac:dyDescent="0.25">
      <c r="A126" s="80">
        <v>7</v>
      </c>
      <c r="C126" s="67" t="s">
        <v>798</v>
      </c>
      <c r="D126" s="67" t="s">
        <v>68</v>
      </c>
      <c r="E126" s="67" t="s">
        <v>69</v>
      </c>
      <c r="F126" s="67">
        <v>48091</v>
      </c>
      <c r="I126" s="67"/>
      <c r="J126" s="67"/>
      <c r="M126" s="80">
        <v>126</v>
      </c>
      <c r="N126" s="67" t="s">
        <v>799</v>
      </c>
      <c r="O126" s="80">
        <v>78</v>
      </c>
      <c r="P126" s="67" t="s">
        <v>800</v>
      </c>
      <c r="Q126" s="67">
        <v>18189464952</v>
      </c>
      <c r="R126" s="67" t="s">
        <v>801</v>
      </c>
      <c r="S126" s="67">
        <v>18188264280</v>
      </c>
      <c r="T126" s="80" t="s">
        <v>56</v>
      </c>
      <c r="U126" s="80" t="s">
        <v>57</v>
      </c>
      <c r="V126" s="177"/>
      <c r="W126" s="80" t="str">
        <f>IF(OR(studentdata[[#This Row],[Weekend 2025]]&lt;&gt;""),"Yes","")</f>
        <v/>
      </c>
      <c r="X126" s="80"/>
      <c r="Y126" s="80" t="str">
        <f>IF(OR(studentdata[[#This Row],[Evening 2025]]&lt;&gt;""),"Yes","")</f>
        <v/>
      </c>
      <c r="Z126" s="80"/>
      <c r="AA126" s="80"/>
      <c r="AB126" s="80" t="str">
        <f>IF(OR(studentdata[[#This Row],[Weekend 2025 Enrolled]]="Yes",studentdata[[#This Row],[Evening 2025 Enrolled]]="Yes"),"Yes","")</f>
        <v/>
      </c>
    </row>
    <row r="127" spans="1:28" x14ac:dyDescent="0.25">
      <c r="A127" s="80">
        <v>8</v>
      </c>
      <c r="C127" s="67" t="s">
        <v>537</v>
      </c>
      <c r="D127" s="67" t="s">
        <v>68</v>
      </c>
      <c r="E127" s="67" t="s">
        <v>69</v>
      </c>
      <c r="F127" s="67">
        <v>48091</v>
      </c>
      <c r="I127" s="67"/>
      <c r="J127" s="67"/>
      <c r="M127" s="80">
        <v>127</v>
      </c>
      <c r="N127" s="67" t="s">
        <v>538</v>
      </c>
      <c r="O127" s="80">
        <v>79</v>
      </c>
      <c r="P127" s="67" t="s">
        <v>539</v>
      </c>
      <c r="Q127" s="67">
        <v>15865778016</v>
      </c>
      <c r="R127" s="67" t="s">
        <v>540</v>
      </c>
      <c r="S127" s="67">
        <v>13133499899</v>
      </c>
      <c r="T127" s="80" t="s">
        <v>46</v>
      </c>
      <c r="U127" s="80" t="s">
        <v>80</v>
      </c>
      <c r="V127" s="177">
        <v>2</v>
      </c>
      <c r="W127" s="80" t="str">
        <f>IF(OR(studentdata[[#This Row],[Weekend 2025]]&lt;&gt;""),"Yes","")</f>
        <v>Yes</v>
      </c>
      <c r="X127" s="80">
        <v>12</v>
      </c>
      <c r="Y127" s="80" t="str">
        <f>IF(OR(studentdata[[#This Row],[Evening 2025]]&lt;&gt;""),"Yes","")</f>
        <v/>
      </c>
      <c r="Z127" s="80"/>
      <c r="AA127" s="80"/>
      <c r="AB127" s="80" t="str">
        <f>IF(OR(studentdata[[#This Row],[Weekend 2025 Enrolled]]="Yes",studentdata[[#This Row],[Evening 2025 Enrolled]]="Yes"),"Yes","")</f>
        <v>Yes</v>
      </c>
    </row>
    <row r="128" spans="1:28" x14ac:dyDescent="0.25">
      <c r="A128" s="80">
        <v>11</v>
      </c>
      <c r="C128" s="67" t="s">
        <v>434</v>
      </c>
      <c r="D128" s="67" t="s">
        <v>93</v>
      </c>
      <c r="E128" s="67" t="s">
        <v>69</v>
      </c>
      <c r="F128" s="67">
        <v>48310</v>
      </c>
      <c r="I128" s="67"/>
      <c r="J128" s="67"/>
      <c r="M128" s="80">
        <v>128</v>
      </c>
      <c r="N128" s="67" t="s">
        <v>536</v>
      </c>
      <c r="O128" s="80">
        <v>80</v>
      </c>
      <c r="P128" s="67" t="s">
        <v>436</v>
      </c>
      <c r="Q128" s="67">
        <v>15863035068</v>
      </c>
      <c r="R128" s="67" t="s">
        <v>437</v>
      </c>
      <c r="S128" s="67">
        <v>13135984347</v>
      </c>
      <c r="T128" s="80" t="s">
        <v>46</v>
      </c>
      <c r="U128" s="80" t="s">
        <v>85</v>
      </c>
      <c r="V128" s="177">
        <v>2</v>
      </c>
      <c r="W128" s="80" t="str">
        <f>IF(OR(studentdata[[#This Row],[Weekend 2025]]&lt;&gt;""),"Yes","")</f>
        <v>Yes</v>
      </c>
      <c r="X128" s="80">
        <v>11</v>
      </c>
      <c r="Y128" s="80" t="str">
        <f>IF(OR(studentdata[[#This Row],[Evening 2025]]&lt;&gt;""),"Yes","")</f>
        <v/>
      </c>
      <c r="Z128" s="80"/>
      <c r="AA128" s="80"/>
      <c r="AB128" s="80" t="str">
        <f>IF(OR(studentdata[[#This Row],[Weekend 2025 Enrolled]]="Yes",studentdata[[#This Row],[Evening 2025 Enrolled]]="Yes"),"Yes","")</f>
        <v>Yes</v>
      </c>
    </row>
    <row r="129" spans="1:28" x14ac:dyDescent="0.25">
      <c r="A129" s="80">
        <v>7</v>
      </c>
      <c r="C129" s="67" t="s">
        <v>434</v>
      </c>
      <c r="D129" s="67" t="s">
        <v>93</v>
      </c>
      <c r="E129" s="67" t="s">
        <v>69</v>
      </c>
      <c r="F129" s="67">
        <v>48310</v>
      </c>
      <c r="I129" s="67"/>
      <c r="J129" s="67"/>
      <c r="M129" s="80">
        <v>129</v>
      </c>
      <c r="N129" s="67" t="s">
        <v>435</v>
      </c>
      <c r="O129" s="80">
        <v>80</v>
      </c>
      <c r="P129" s="67" t="s">
        <v>436</v>
      </c>
      <c r="Q129" s="67">
        <v>15863035068</v>
      </c>
      <c r="R129" s="67" t="s">
        <v>437</v>
      </c>
      <c r="S129" s="67">
        <v>13135984347</v>
      </c>
      <c r="T129" s="80" t="s">
        <v>56</v>
      </c>
      <c r="U129" s="80" t="s">
        <v>95</v>
      </c>
      <c r="V129" s="177" t="s">
        <v>137</v>
      </c>
      <c r="W129" s="80" t="str">
        <f>IF(OR(studentdata[[#This Row],[Weekend 2025]]&lt;&gt;""),"Yes","")</f>
        <v>Yes</v>
      </c>
      <c r="X129" s="80">
        <v>2</v>
      </c>
      <c r="Y129" s="80" t="str">
        <f>IF(OR(studentdata[[#This Row],[Evening 2025]]&lt;&gt;""),"Yes","")</f>
        <v/>
      </c>
      <c r="Z129" s="80"/>
      <c r="AA129" s="80"/>
      <c r="AB129" s="80" t="str">
        <f>IF(OR(studentdata[[#This Row],[Weekend 2025 Enrolled]]="Yes",studentdata[[#This Row],[Evening 2025 Enrolled]]="Yes"),"Yes","")</f>
        <v>Yes</v>
      </c>
    </row>
    <row r="130" spans="1:28" x14ac:dyDescent="0.25">
      <c r="A130" s="80">
        <v>5</v>
      </c>
      <c r="B130" s="67" t="s">
        <v>45</v>
      </c>
      <c r="C130" s="67" t="s">
        <v>693</v>
      </c>
      <c r="D130" s="67" t="s">
        <v>68</v>
      </c>
      <c r="E130" s="67" t="s">
        <v>69</v>
      </c>
      <c r="F130" s="67">
        <v>48092</v>
      </c>
      <c r="G130" s="67" t="s">
        <v>694</v>
      </c>
      <c r="H130" s="67" t="s">
        <v>695</v>
      </c>
      <c r="I130" s="67" t="s">
        <v>595</v>
      </c>
      <c r="J130" s="67"/>
      <c r="K130" s="67">
        <v>13137754019</v>
      </c>
      <c r="M130" s="80">
        <v>130</v>
      </c>
      <c r="N130" s="67" t="s">
        <v>696</v>
      </c>
      <c r="O130" s="80">
        <v>81</v>
      </c>
      <c r="P130" s="67" t="s">
        <v>697</v>
      </c>
      <c r="Q130" s="67">
        <v>13133334585</v>
      </c>
      <c r="R130" s="67" t="s">
        <v>698</v>
      </c>
      <c r="T130" s="80" t="s">
        <v>46</v>
      </c>
      <c r="U130" s="80" t="s">
        <v>171</v>
      </c>
      <c r="V130" s="177" t="s">
        <v>142</v>
      </c>
      <c r="W130" s="80" t="str">
        <f>IF(OR(studentdata[[#This Row],[Weekend 2025]]&lt;&gt;""),"Yes","")</f>
        <v>Yes</v>
      </c>
      <c r="X130" s="80">
        <v>12</v>
      </c>
      <c r="Y130" s="80" t="str">
        <f>IF(OR(studentdata[[#This Row],[Evening 2025]]&lt;&gt;""),"Yes","")</f>
        <v/>
      </c>
      <c r="Z130" s="80"/>
      <c r="AA130" s="80"/>
      <c r="AB130" s="80" t="str">
        <f>IF(OR(studentdata[[#This Row],[Weekend 2025 Enrolled]]="Yes",studentdata[[#This Row],[Evening 2025 Enrolled]]="Yes"),"Yes","")</f>
        <v>Yes</v>
      </c>
    </row>
    <row r="131" spans="1:28" x14ac:dyDescent="0.25">
      <c r="A131" s="80">
        <v>6</v>
      </c>
      <c r="C131" s="67" t="s">
        <v>802</v>
      </c>
      <c r="D131" s="67" t="s">
        <v>68</v>
      </c>
      <c r="E131" s="67" t="s">
        <v>69</v>
      </c>
      <c r="F131" s="67">
        <v>48091</v>
      </c>
      <c r="G131" s="67" t="s">
        <v>803</v>
      </c>
      <c r="H131" s="67" t="s">
        <v>804</v>
      </c>
      <c r="I131" s="67" t="s">
        <v>165</v>
      </c>
      <c r="J131" s="67">
        <v>13135024608</v>
      </c>
      <c r="M131" s="80">
        <v>131</v>
      </c>
      <c r="N131" s="67" t="s">
        <v>805</v>
      </c>
      <c r="O131" s="80">
        <v>82</v>
      </c>
      <c r="P131" s="67" t="s">
        <v>806</v>
      </c>
      <c r="Q131" s="67">
        <v>13134208274</v>
      </c>
      <c r="R131" s="67" t="s">
        <v>243</v>
      </c>
      <c r="T131" s="80" t="s">
        <v>56</v>
      </c>
      <c r="U131" s="80" t="s">
        <v>57</v>
      </c>
      <c r="V131" s="177"/>
      <c r="W131" s="80" t="str">
        <f>IF(OR(studentdata[[#This Row],[Weekend 2025]]&lt;&gt;""),"Yes","")</f>
        <v/>
      </c>
      <c r="X131" s="80"/>
      <c r="Y131" s="80" t="str">
        <f>IF(OR(studentdata[[#This Row],[Evening 2025]]&lt;&gt;""),"Yes","")</f>
        <v/>
      </c>
      <c r="Z131" s="80"/>
      <c r="AA131" s="80"/>
      <c r="AB131" s="80" t="str">
        <f>IF(OR(studentdata[[#This Row],[Weekend 2025 Enrolled]]="Yes",studentdata[[#This Row],[Evening 2025 Enrolled]]="Yes"),"Yes","")</f>
        <v/>
      </c>
    </row>
    <row r="132" spans="1:28" x14ac:dyDescent="0.25">
      <c r="A132" s="80">
        <v>14</v>
      </c>
      <c r="B132" s="67" t="s">
        <v>162</v>
      </c>
      <c r="C132" s="67" t="s">
        <v>569</v>
      </c>
      <c r="D132" s="67" t="s">
        <v>68</v>
      </c>
      <c r="E132" s="67" t="s">
        <v>69</v>
      </c>
      <c r="F132" s="67">
        <v>48091</v>
      </c>
      <c r="G132" s="67" t="s">
        <v>570</v>
      </c>
      <c r="H132" s="67" t="s">
        <v>571</v>
      </c>
      <c r="I132" s="67" t="s">
        <v>165</v>
      </c>
      <c r="J132" s="67">
        <v>13132814614</v>
      </c>
      <c r="K132" s="67">
        <v>13132814625</v>
      </c>
      <c r="M132" s="80">
        <v>132</v>
      </c>
      <c r="N132" s="67" t="s">
        <v>572</v>
      </c>
      <c r="O132" s="80">
        <v>83</v>
      </c>
      <c r="P132" s="67" t="s">
        <v>573</v>
      </c>
      <c r="Q132" s="67">
        <v>13133923524</v>
      </c>
      <c r="R132" s="67" t="s">
        <v>574</v>
      </c>
      <c r="S132" s="67">
        <v>13132814614</v>
      </c>
      <c r="T132" s="80" t="s">
        <v>46</v>
      </c>
      <c r="U132" s="80" t="s">
        <v>199</v>
      </c>
      <c r="V132" s="177">
        <v>3</v>
      </c>
      <c r="W132" s="80" t="str">
        <f>IF(OR(studentdata[[#This Row],[Weekend 2025]]&lt;&gt;""),"Yes","")</f>
        <v>Yes</v>
      </c>
      <c r="X132" s="80">
        <v>9</v>
      </c>
      <c r="Y132" s="80" t="str">
        <f>IF(OR(studentdata[[#This Row],[Evening 2025]]&lt;&gt;""),"Yes","")</f>
        <v/>
      </c>
      <c r="Z132" s="80"/>
      <c r="AA132" s="80"/>
      <c r="AB132" s="80" t="str">
        <f>IF(OR(studentdata[[#This Row],[Weekend 2025 Enrolled]]="Yes",studentdata[[#This Row],[Evening 2025 Enrolled]]="Yes"),"Yes","")</f>
        <v>Yes</v>
      </c>
    </row>
    <row r="133" spans="1:28" x14ac:dyDescent="0.25">
      <c r="A133" s="80">
        <v>7</v>
      </c>
      <c r="C133" s="67" t="s">
        <v>569</v>
      </c>
      <c r="D133" s="67" t="s">
        <v>68</v>
      </c>
      <c r="E133" s="67" t="s">
        <v>69</v>
      </c>
      <c r="F133" s="67">
        <v>48091</v>
      </c>
      <c r="G133" s="67" t="s">
        <v>570</v>
      </c>
      <c r="H133" s="67" t="s">
        <v>571</v>
      </c>
      <c r="I133" s="67" t="s">
        <v>165</v>
      </c>
      <c r="J133" s="67">
        <v>13132814614</v>
      </c>
      <c r="K133" s="67">
        <v>13132814625</v>
      </c>
      <c r="M133" s="80">
        <v>133</v>
      </c>
      <c r="N133" s="67" t="s">
        <v>991</v>
      </c>
      <c r="O133" s="80">
        <v>83</v>
      </c>
      <c r="P133" s="67" t="s">
        <v>573</v>
      </c>
      <c r="Q133" s="67">
        <v>13133923524</v>
      </c>
      <c r="R133" s="67" t="s">
        <v>574</v>
      </c>
      <c r="S133" s="67">
        <v>13132814614</v>
      </c>
      <c r="T133" s="80" t="s">
        <v>46</v>
      </c>
      <c r="U133" s="80" t="s">
        <v>57</v>
      </c>
      <c r="V133" s="177"/>
      <c r="W133" s="80" t="str">
        <f>IF(OR(studentdata[[#This Row],[Weekend 2025]]&lt;&gt;""),"Yes","")</f>
        <v/>
      </c>
      <c r="X133" s="80"/>
      <c r="Y133" s="80" t="str">
        <f>IF(OR(studentdata[[#This Row],[Evening 2025]]&lt;&gt;""),"Yes","")</f>
        <v/>
      </c>
      <c r="Z133" s="80"/>
      <c r="AA133" s="80"/>
      <c r="AB133" s="80" t="str">
        <f>IF(OR(studentdata[[#This Row],[Weekend 2025 Enrolled]]="Yes",studentdata[[#This Row],[Evening 2025 Enrolled]]="Yes"),"Yes","")</f>
        <v/>
      </c>
    </row>
    <row r="134" spans="1:28" x14ac:dyDescent="0.25">
      <c r="A134" s="80">
        <v>8</v>
      </c>
      <c r="B134" s="67">
        <v>3</v>
      </c>
      <c r="C134" s="67" t="s">
        <v>807</v>
      </c>
      <c r="D134" s="67" t="s">
        <v>68</v>
      </c>
      <c r="E134" s="67" t="s">
        <v>69</v>
      </c>
      <c r="F134" s="67">
        <v>48091</v>
      </c>
      <c r="I134" s="67"/>
      <c r="J134" s="67"/>
      <c r="M134" s="80">
        <v>134</v>
      </c>
      <c r="N134" s="67" t="s">
        <v>808</v>
      </c>
      <c r="O134" s="80">
        <v>84</v>
      </c>
      <c r="P134" s="67" t="s">
        <v>809</v>
      </c>
      <c r="Q134" s="67">
        <v>13135107547</v>
      </c>
      <c r="S134" s="67">
        <v>13137750672</v>
      </c>
      <c r="T134" s="80" t="s">
        <v>56</v>
      </c>
      <c r="U134" s="80" t="s">
        <v>52</v>
      </c>
      <c r="V134" s="177"/>
      <c r="W134" s="80" t="str">
        <f>IF(OR(studentdata[[#This Row],[Weekend 2025]]&lt;&gt;""),"Yes","")</f>
        <v/>
      </c>
      <c r="X134" s="80"/>
      <c r="Y134" s="80" t="str">
        <f>IF(OR(studentdata[[#This Row],[Evening 2025]]&lt;&gt;""),"Yes","")</f>
        <v/>
      </c>
      <c r="Z134" s="80"/>
      <c r="AA134" s="80"/>
      <c r="AB134" s="80" t="str">
        <f>IF(OR(studentdata[[#This Row],[Weekend 2025 Enrolled]]="Yes",studentdata[[#This Row],[Evening 2025 Enrolled]]="Yes"),"Yes","")</f>
        <v/>
      </c>
    </row>
    <row r="135" spans="1:28" x14ac:dyDescent="0.25">
      <c r="A135" s="80">
        <v>12</v>
      </c>
      <c r="B135" s="67">
        <v>3</v>
      </c>
      <c r="C135" s="67" t="s">
        <v>807</v>
      </c>
      <c r="D135" s="67" t="s">
        <v>68</v>
      </c>
      <c r="E135" s="67" t="s">
        <v>69</v>
      </c>
      <c r="F135" s="67">
        <v>48091</v>
      </c>
      <c r="I135" s="67"/>
      <c r="J135" s="67"/>
      <c r="M135" s="80">
        <v>135</v>
      </c>
      <c r="N135" s="67" t="s">
        <v>810</v>
      </c>
      <c r="O135" s="80">
        <v>84</v>
      </c>
      <c r="P135" s="67" t="s">
        <v>809</v>
      </c>
      <c r="Q135" s="67">
        <v>13135107547</v>
      </c>
      <c r="S135" s="67">
        <v>13137750672</v>
      </c>
      <c r="T135" s="80" t="s">
        <v>56</v>
      </c>
      <c r="U135" s="80" t="s">
        <v>61</v>
      </c>
      <c r="V135" s="177"/>
      <c r="W135" s="80" t="str">
        <f>IF(OR(studentdata[[#This Row],[Weekend 2025]]&lt;&gt;""),"Yes","")</f>
        <v/>
      </c>
      <c r="X135" s="80"/>
      <c r="Y135" s="80" t="str">
        <f>IF(OR(studentdata[[#This Row],[Evening 2025]]&lt;&gt;""),"Yes","")</f>
        <v/>
      </c>
      <c r="Z135" s="80"/>
      <c r="AA135" s="80"/>
      <c r="AB135" s="80" t="str">
        <f>IF(OR(studentdata[[#This Row],[Weekend 2025 Enrolled]]="Yes",studentdata[[#This Row],[Evening 2025 Enrolled]]="Yes"),"Yes","")</f>
        <v/>
      </c>
    </row>
    <row r="136" spans="1:28" x14ac:dyDescent="0.25">
      <c r="A136" s="80">
        <v>8</v>
      </c>
      <c r="C136" s="67" t="s">
        <v>257</v>
      </c>
      <c r="D136" s="67" t="s">
        <v>93</v>
      </c>
      <c r="E136" s="67" t="s">
        <v>69</v>
      </c>
      <c r="F136" s="67">
        <v>48312</v>
      </c>
      <c r="G136" s="67" t="s">
        <v>258</v>
      </c>
      <c r="I136" s="67"/>
      <c r="J136" s="67"/>
      <c r="M136" s="80">
        <v>136</v>
      </c>
      <c r="N136" s="67" t="s">
        <v>259</v>
      </c>
      <c r="O136" s="80">
        <v>85</v>
      </c>
      <c r="P136" s="67" t="s">
        <v>260</v>
      </c>
      <c r="Q136" s="67">
        <v>13135491596</v>
      </c>
      <c r="R136" s="67" t="s">
        <v>261</v>
      </c>
      <c r="S136" s="67">
        <v>13137079539</v>
      </c>
      <c r="T136" s="80" t="s">
        <v>56</v>
      </c>
      <c r="U136" s="80" t="s">
        <v>95</v>
      </c>
      <c r="V136" s="177">
        <v>2</v>
      </c>
      <c r="W136" s="80" t="str">
        <f>IF(OR(studentdata[[#This Row],[Weekend 2025]]&lt;&gt;""),"Yes","")</f>
        <v>Yes</v>
      </c>
      <c r="X136" s="80">
        <v>15</v>
      </c>
      <c r="Y136" s="80" t="str">
        <f>IF(OR(studentdata[[#This Row],[Evening 2025]]&lt;&gt;""),"Yes","")</f>
        <v/>
      </c>
      <c r="Z136" s="80"/>
      <c r="AA136" s="80"/>
      <c r="AB136" s="80" t="str">
        <f>IF(OR(studentdata[[#This Row],[Weekend 2025 Enrolled]]="Yes",studentdata[[#This Row],[Evening 2025 Enrolled]]="Yes"),"Yes","")</f>
        <v>Yes</v>
      </c>
    </row>
    <row r="137" spans="1:28" x14ac:dyDescent="0.25">
      <c r="A137" s="80">
        <v>5</v>
      </c>
      <c r="C137" s="67" t="s">
        <v>257</v>
      </c>
      <c r="D137" s="67" t="s">
        <v>93</v>
      </c>
      <c r="E137" s="67" t="s">
        <v>69</v>
      </c>
      <c r="F137" s="67">
        <v>48312</v>
      </c>
      <c r="G137" s="67" t="s">
        <v>258</v>
      </c>
      <c r="I137" s="67"/>
      <c r="J137" s="67"/>
      <c r="M137" s="80">
        <v>137</v>
      </c>
      <c r="N137" s="67" t="s">
        <v>450</v>
      </c>
      <c r="O137" s="80">
        <v>85</v>
      </c>
      <c r="P137" s="67" t="s">
        <v>260</v>
      </c>
      <c r="Q137" s="67">
        <v>13135491596</v>
      </c>
      <c r="R137" s="67" t="s">
        <v>261</v>
      </c>
      <c r="S137" s="67">
        <v>13137079539</v>
      </c>
      <c r="T137" s="80" t="s">
        <v>56</v>
      </c>
      <c r="U137" s="80" t="s">
        <v>171</v>
      </c>
      <c r="V137" s="177" t="s">
        <v>137</v>
      </c>
      <c r="W137" s="80" t="str">
        <f>IF(OR(studentdata[[#This Row],[Weekend 2025]]&lt;&gt;""),"Yes","")</f>
        <v>Yes</v>
      </c>
      <c r="X137" s="80">
        <v>8</v>
      </c>
      <c r="Y137" s="80" t="str">
        <f>IF(OR(studentdata[[#This Row],[Evening 2025]]&lt;&gt;""),"Yes","")</f>
        <v/>
      </c>
      <c r="Z137" s="80"/>
      <c r="AA137" s="80"/>
      <c r="AB137" s="80" t="str">
        <f>IF(OR(studentdata[[#This Row],[Weekend 2025 Enrolled]]="Yes",studentdata[[#This Row],[Evening 2025 Enrolled]]="Yes"),"Yes","")</f>
        <v>Yes</v>
      </c>
    </row>
    <row r="138" spans="1:28" x14ac:dyDescent="0.25">
      <c r="A138" s="80">
        <v>8</v>
      </c>
      <c r="B138" s="67" t="s">
        <v>239</v>
      </c>
      <c r="C138" s="67" t="s">
        <v>992</v>
      </c>
      <c r="D138" s="67" t="s">
        <v>68</v>
      </c>
      <c r="E138" s="67" t="s">
        <v>69</v>
      </c>
      <c r="F138" s="67">
        <v>48091</v>
      </c>
      <c r="G138" s="67" t="s">
        <v>993</v>
      </c>
      <c r="I138" s="67"/>
      <c r="J138" s="67"/>
      <c r="M138" s="80">
        <v>138</v>
      </c>
      <c r="N138" s="67" t="s">
        <v>994</v>
      </c>
      <c r="O138" s="80">
        <v>86</v>
      </c>
      <c r="P138" s="67" t="s">
        <v>995</v>
      </c>
      <c r="Q138" s="67">
        <v>13474798690</v>
      </c>
      <c r="R138" s="67" t="s">
        <v>996</v>
      </c>
      <c r="T138" s="80" t="s">
        <v>46</v>
      </c>
      <c r="U138" s="80" t="s">
        <v>95</v>
      </c>
      <c r="V138" s="177"/>
      <c r="W138" s="80" t="str">
        <f>IF(OR(studentdata[[#This Row],[Weekend 2025]]&lt;&gt;""),"Yes","")</f>
        <v/>
      </c>
      <c r="X138" s="80"/>
      <c r="Y138" s="80" t="str">
        <f>IF(OR(studentdata[[#This Row],[Evening 2025]]&lt;&gt;""),"Yes","")</f>
        <v/>
      </c>
      <c r="Z138" s="80"/>
      <c r="AA138" s="80"/>
      <c r="AB138" s="80" t="str">
        <f>IF(OR(studentdata[[#This Row],[Weekend 2025 Enrolled]]="Yes",studentdata[[#This Row],[Evening 2025 Enrolled]]="Yes"),"Yes","")</f>
        <v/>
      </c>
    </row>
    <row r="139" spans="1:28" x14ac:dyDescent="0.25">
      <c r="A139" s="80">
        <v>5</v>
      </c>
      <c r="C139" s="67" t="s">
        <v>997</v>
      </c>
      <c r="D139" s="67" t="s">
        <v>68</v>
      </c>
      <c r="E139" s="67" t="s">
        <v>69</v>
      </c>
      <c r="F139" s="67">
        <v>48092</v>
      </c>
      <c r="G139" s="67" t="s">
        <v>998</v>
      </c>
      <c r="I139" s="67"/>
      <c r="J139" s="67"/>
      <c r="M139" s="80">
        <v>139</v>
      </c>
      <c r="N139" s="67" t="s">
        <v>999</v>
      </c>
      <c r="O139" s="80">
        <v>87</v>
      </c>
      <c r="P139" s="67" t="s">
        <v>1000</v>
      </c>
      <c r="Q139" s="67">
        <v>15867331914</v>
      </c>
      <c r="R139" s="67" t="s">
        <v>1001</v>
      </c>
      <c r="S139" s="67">
        <v>13137840573</v>
      </c>
      <c r="T139" s="80" t="s">
        <v>46</v>
      </c>
      <c r="U139" s="80"/>
      <c r="V139" s="177"/>
      <c r="W139" s="80" t="str">
        <f>IF(OR(studentdata[[#This Row],[Weekend 2025]]&lt;&gt;""),"Yes","")</f>
        <v/>
      </c>
      <c r="X139" s="80"/>
      <c r="Y139" s="80" t="str">
        <f>IF(OR(studentdata[[#This Row],[Evening 2025]]&lt;&gt;""),"Yes","")</f>
        <v/>
      </c>
      <c r="Z139" s="80"/>
      <c r="AA139" s="80"/>
      <c r="AB139" s="80" t="str">
        <f>IF(OR(studentdata[[#This Row],[Weekend 2025 Enrolled]]="Yes",studentdata[[#This Row],[Evening 2025 Enrolled]]="Yes"),"Yes","")</f>
        <v/>
      </c>
    </row>
    <row r="140" spans="1:28" x14ac:dyDescent="0.25">
      <c r="A140" s="80">
        <v>9</v>
      </c>
      <c r="C140" s="67" t="s">
        <v>1002</v>
      </c>
      <c r="D140" s="67" t="s">
        <v>68</v>
      </c>
      <c r="E140" s="67" t="s">
        <v>69</v>
      </c>
      <c r="F140" s="67">
        <v>48093</v>
      </c>
      <c r="G140" s="67" t="s">
        <v>1003</v>
      </c>
      <c r="I140" s="67"/>
      <c r="J140" s="67"/>
      <c r="M140" s="80">
        <v>140</v>
      </c>
      <c r="N140" s="67" t="s">
        <v>1004</v>
      </c>
      <c r="O140" s="80">
        <v>88</v>
      </c>
      <c r="P140" s="67" t="s">
        <v>1005</v>
      </c>
      <c r="Q140" s="67">
        <v>16315304308</v>
      </c>
      <c r="R140" s="67" t="s">
        <v>1006</v>
      </c>
      <c r="S140" s="67">
        <v>12124442995</v>
      </c>
      <c r="T140" s="80" t="s">
        <v>46</v>
      </c>
      <c r="U140" s="80" t="s">
        <v>52</v>
      </c>
      <c r="V140" s="177"/>
      <c r="W140" s="80" t="str">
        <f>IF(OR(studentdata[[#This Row],[Weekend 2025]]&lt;&gt;""),"Yes","")</f>
        <v/>
      </c>
      <c r="X140" s="80"/>
      <c r="Y140" s="80" t="str">
        <f>IF(OR(studentdata[[#This Row],[Evening 2025]]&lt;&gt;""),"Yes","")</f>
        <v/>
      </c>
      <c r="Z140" s="80"/>
      <c r="AA140" s="80"/>
      <c r="AB140" s="80" t="str">
        <f>IF(OR(studentdata[[#This Row],[Weekend 2025 Enrolled]]="Yes",studentdata[[#This Row],[Evening 2025 Enrolled]]="Yes"),"Yes","")</f>
        <v/>
      </c>
    </row>
    <row r="141" spans="1:28" x14ac:dyDescent="0.25">
      <c r="A141" s="80">
        <v>9</v>
      </c>
      <c r="B141" s="67">
        <v>1</v>
      </c>
      <c r="C141" s="67" t="s">
        <v>79</v>
      </c>
      <c r="D141" s="67" t="s">
        <v>68</v>
      </c>
      <c r="E141" s="67" t="s">
        <v>69</v>
      </c>
      <c r="F141" s="67">
        <v>48091</v>
      </c>
      <c r="I141" s="67"/>
      <c r="J141" s="67"/>
      <c r="M141" s="80">
        <v>141</v>
      </c>
      <c r="N141" s="67" t="s">
        <v>76</v>
      </c>
      <c r="O141" s="80">
        <v>89</v>
      </c>
      <c r="P141" s="67" t="s">
        <v>77</v>
      </c>
      <c r="Q141" s="67">
        <v>15867224348</v>
      </c>
      <c r="R141" s="67" t="s">
        <v>78</v>
      </c>
      <c r="S141" s="67">
        <v>15867224348</v>
      </c>
      <c r="T141" s="80" t="s">
        <v>56</v>
      </c>
      <c r="U141" s="80" t="s">
        <v>80</v>
      </c>
      <c r="V141" s="177"/>
      <c r="W141" s="80" t="str">
        <f>IF(OR(studentdata[[#This Row],[Weekend 2025]]&lt;&gt;""),"Yes","")</f>
        <v/>
      </c>
      <c r="X141" s="80"/>
      <c r="Y141" s="80" t="str">
        <f>IF(OR(studentdata[[#This Row],[Evening 2025]]&lt;&gt;""),"Yes","")</f>
        <v>Yes</v>
      </c>
      <c r="Z141" s="80">
        <v>2</v>
      </c>
      <c r="AA141" s="80"/>
      <c r="AB141" s="80" t="str">
        <f>IF(OR(studentdata[[#This Row],[Weekend 2025 Enrolled]]="Yes",studentdata[[#This Row],[Evening 2025 Enrolled]]="Yes"),"Yes","")</f>
        <v>Yes</v>
      </c>
    </row>
    <row r="142" spans="1:28" x14ac:dyDescent="0.25">
      <c r="A142" s="80">
        <v>8</v>
      </c>
      <c r="B142" s="67">
        <v>3</v>
      </c>
      <c r="C142" s="67" t="s">
        <v>135</v>
      </c>
      <c r="D142" s="67" t="s">
        <v>68</v>
      </c>
      <c r="E142" s="67" t="s">
        <v>69</v>
      </c>
      <c r="F142" s="67">
        <v>48091</v>
      </c>
      <c r="G142" s="67" t="s">
        <v>136</v>
      </c>
      <c r="I142" s="67"/>
      <c r="J142" s="67"/>
      <c r="M142" s="80">
        <v>142</v>
      </c>
      <c r="N142" s="67" t="s">
        <v>143</v>
      </c>
      <c r="O142" s="80">
        <v>90</v>
      </c>
      <c r="P142" s="67" t="s">
        <v>133</v>
      </c>
      <c r="Q142" s="67">
        <v>13136031479</v>
      </c>
      <c r="R142" s="67" t="s">
        <v>134</v>
      </c>
      <c r="S142" s="67">
        <v>15864816473</v>
      </c>
      <c r="T142" s="80" t="s">
        <v>56</v>
      </c>
      <c r="U142" s="80" t="s">
        <v>95</v>
      </c>
      <c r="V142" s="177" t="s">
        <v>142</v>
      </c>
      <c r="W142" s="80" t="str">
        <f>IF(OR(studentdata[[#This Row],[Weekend 2025]]&lt;&gt;""),"Yes","")</f>
        <v>Yes</v>
      </c>
      <c r="X142" s="80">
        <v>7</v>
      </c>
      <c r="Y142" s="80" t="str">
        <f>IF(OR(studentdata[[#This Row],[Evening 2025]]&lt;&gt;""),"Yes","")</f>
        <v>Yes</v>
      </c>
      <c r="Z142" s="80">
        <v>7</v>
      </c>
      <c r="AA142" s="80"/>
      <c r="AB142" s="80" t="str">
        <f>IF(OR(studentdata[[#This Row],[Weekend 2025 Enrolled]]="Yes",studentdata[[#This Row],[Evening 2025 Enrolled]]="Yes"),"Yes","")</f>
        <v>Yes</v>
      </c>
    </row>
    <row r="143" spans="1:28" x14ac:dyDescent="0.25">
      <c r="A143" s="80">
        <v>7</v>
      </c>
      <c r="B143" s="67">
        <v>1</v>
      </c>
      <c r="C143" s="67" t="s">
        <v>135</v>
      </c>
      <c r="D143" s="67" t="s">
        <v>68</v>
      </c>
      <c r="E143" s="67" t="s">
        <v>69</v>
      </c>
      <c r="F143" s="67">
        <v>48091</v>
      </c>
      <c r="G143" s="67" t="s">
        <v>136</v>
      </c>
      <c r="I143" s="67"/>
      <c r="J143" s="67"/>
      <c r="M143" s="80">
        <v>143</v>
      </c>
      <c r="N143" s="67" t="s">
        <v>132</v>
      </c>
      <c r="O143" s="80">
        <v>90</v>
      </c>
      <c r="P143" s="67" t="s">
        <v>133</v>
      </c>
      <c r="Q143" s="67">
        <v>13136031479</v>
      </c>
      <c r="R143" s="67" t="s">
        <v>134</v>
      </c>
      <c r="S143" s="67">
        <v>15864816473</v>
      </c>
      <c r="T143" s="80" t="s">
        <v>56</v>
      </c>
      <c r="U143" s="80" t="s">
        <v>95</v>
      </c>
      <c r="V143" s="177" t="s">
        <v>137</v>
      </c>
      <c r="W143" s="80" t="str">
        <f>IF(OR(studentdata[[#This Row],[Weekend 2025]]&lt;&gt;""),"Yes","")</f>
        <v>Yes</v>
      </c>
      <c r="X143" s="80">
        <v>5</v>
      </c>
      <c r="Y143" s="80" t="str">
        <f>IF(OR(studentdata[[#This Row],[Evening 2025]]&lt;&gt;""),"Yes","")</f>
        <v>Yes</v>
      </c>
      <c r="Z143" s="80">
        <v>4</v>
      </c>
      <c r="AA143" s="80"/>
      <c r="AB143" s="80" t="str">
        <f>IF(OR(studentdata[[#This Row],[Weekend 2025 Enrolled]]="Yes",studentdata[[#This Row],[Evening 2025 Enrolled]]="Yes"),"Yes","")</f>
        <v>Yes</v>
      </c>
    </row>
    <row r="144" spans="1:28" x14ac:dyDescent="0.25">
      <c r="A144" s="80">
        <v>6</v>
      </c>
      <c r="B144" s="67">
        <v>2</v>
      </c>
      <c r="C144" s="67" t="s">
        <v>135</v>
      </c>
      <c r="D144" s="67" t="s">
        <v>68</v>
      </c>
      <c r="E144" s="67" t="s">
        <v>69</v>
      </c>
      <c r="F144" s="67">
        <v>48091</v>
      </c>
      <c r="G144" s="67" t="s">
        <v>136</v>
      </c>
      <c r="I144" s="67"/>
      <c r="J144" s="67"/>
      <c r="M144" s="80">
        <v>144</v>
      </c>
      <c r="N144" s="67" t="s">
        <v>181</v>
      </c>
      <c r="O144" s="80">
        <v>90</v>
      </c>
      <c r="P144" s="67" t="s">
        <v>133</v>
      </c>
      <c r="Q144" s="67">
        <v>13136031479</v>
      </c>
      <c r="R144" s="67" t="s">
        <v>134</v>
      </c>
      <c r="S144" s="67">
        <v>15864816473</v>
      </c>
      <c r="T144" s="80" t="s">
        <v>46</v>
      </c>
      <c r="U144" s="80" t="s">
        <v>57</v>
      </c>
      <c r="V144" s="177" t="s">
        <v>137</v>
      </c>
      <c r="W144" s="80" t="str">
        <f>IF(OR(studentdata[[#This Row],[Weekend 2025]]&lt;&gt;""),"Yes","")</f>
        <v>Yes</v>
      </c>
      <c r="X144" s="80">
        <v>4</v>
      </c>
      <c r="Y144" s="80" t="str">
        <f>IF(OR(studentdata[[#This Row],[Evening 2025]]&lt;&gt;""),"Yes","")</f>
        <v>Yes</v>
      </c>
      <c r="Z144" s="80">
        <v>3</v>
      </c>
      <c r="AA144" s="80"/>
      <c r="AB144" s="80" t="str">
        <f>IF(OR(studentdata[[#This Row],[Weekend 2025 Enrolled]]="Yes",studentdata[[#This Row],[Evening 2025 Enrolled]]="Yes"),"Yes","")</f>
        <v>Yes</v>
      </c>
    </row>
    <row r="145" spans="1:28" x14ac:dyDescent="0.25">
      <c r="A145" s="80">
        <v>15</v>
      </c>
      <c r="B145" s="67" t="s">
        <v>162</v>
      </c>
      <c r="C145" s="67" t="s">
        <v>468</v>
      </c>
      <c r="D145" s="67" t="s">
        <v>68</v>
      </c>
      <c r="E145" s="67" t="s">
        <v>69</v>
      </c>
      <c r="F145" s="67">
        <v>48091</v>
      </c>
      <c r="I145" s="67"/>
      <c r="J145" s="67"/>
      <c r="M145" s="80">
        <v>145</v>
      </c>
      <c r="N145" s="67" t="s">
        <v>553</v>
      </c>
      <c r="O145" s="80">
        <v>91</v>
      </c>
      <c r="P145" s="67" t="s">
        <v>470</v>
      </c>
      <c r="Q145" s="67">
        <v>15864386550</v>
      </c>
      <c r="R145" s="67" t="s">
        <v>471</v>
      </c>
      <c r="S145" s="67">
        <v>15862774640</v>
      </c>
      <c r="T145" s="80" t="s">
        <v>46</v>
      </c>
      <c r="U145" s="80" t="s">
        <v>199</v>
      </c>
      <c r="V145" s="177">
        <v>3</v>
      </c>
      <c r="W145" s="80" t="str">
        <f>IF(OR(studentdata[[#This Row],[Weekend 2025]]&lt;&gt;""),"Yes","")</f>
        <v>Yes</v>
      </c>
      <c r="X145" s="80">
        <v>3</v>
      </c>
      <c r="Y145" s="80" t="str">
        <f>IF(OR(studentdata[[#This Row],[Evening 2025]]&lt;&gt;""),"Yes","")</f>
        <v/>
      </c>
      <c r="Z145" s="80"/>
      <c r="AA145" s="80"/>
      <c r="AB145" s="80" t="str">
        <f>IF(OR(studentdata[[#This Row],[Weekend 2025 Enrolled]]="Yes",studentdata[[#This Row],[Evening 2025 Enrolled]]="Yes"),"Yes","")</f>
        <v>Yes</v>
      </c>
    </row>
    <row r="146" spans="1:28" x14ac:dyDescent="0.25">
      <c r="A146" s="80">
        <v>10</v>
      </c>
      <c r="C146" s="67" t="s">
        <v>468</v>
      </c>
      <c r="D146" s="67" t="s">
        <v>68</v>
      </c>
      <c r="E146" s="67" t="s">
        <v>69</v>
      </c>
      <c r="F146" s="67">
        <v>48091</v>
      </c>
      <c r="I146" s="67"/>
      <c r="J146" s="67"/>
      <c r="M146" s="80">
        <v>146</v>
      </c>
      <c r="N146" s="67" t="s">
        <v>469</v>
      </c>
      <c r="O146" s="80">
        <v>91</v>
      </c>
      <c r="P146" s="67" t="s">
        <v>470</v>
      </c>
      <c r="Q146" s="67">
        <v>15864386550</v>
      </c>
      <c r="R146" s="67" t="s">
        <v>471</v>
      </c>
      <c r="S146" s="67">
        <v>15862774640</v>
      </c>
      <c r="T146" s="80" t="s">
        <v>56</v>
      </c>
      <c r="U146" s="80" t="s">
        <v>85</v>
      </c>
      <c r="V146" s="177" t="s">
        <v>142</v>
      </c>
      <c r="W146" s="80" t="str">
        <f>IF(OR(studentdata[[#This Row],[Weekend 2025]]&lt;&gt;""),"Yes","")</f>
        <v>Yes</v>
      </c>
      <c r="X146" s="80">
        <v>1</v>
      </c>
      <c r="Y146" s="80" t="str">
        <f>IF(OR(studentdata[[#This Row],[Evening 2025]]&lt;&gt;""),"Yes","")</f>
        <v/>
      </c>
      <c r="Z146" s="80"/>
      <c r="AA146" s="80"/>
      <c r="AB146" s="80" t="str">
        <f>IF(OR(studentdata[[#This Row],[Weekend 2025 Enrolled]]="Yes",studentdata[[#This Row],[Evening 2025 Enrolled]]="Yes"),"Yes","")</f>
        <v>Yes</v>
      </c>
    </row>
    <row r="147" spans="1:28" x14ac:dyDescent="0.25">
      <c r="C147" s="67" t="s">
        <v>811</v>
      </c>
      <c r="D147" s="67" t="s">
        <v>68</v>
      </c>
      <c r="E147" s="67" t="s">
        <v>69</v>
      </c>
      <c r="F147" s="67">
        <v>48091</v>
      </c>
      <c r="H147" s="67" t="s">
        <v>812</v>
      </c>
      <c r="I147" s="67"/>
      <c r="J147" s="67"/>
      <c r="M147" s="80">
        <v>147</v>
      </c>
      <c r="N147" s="67" t="s">
        <v>813</v>
      </c>
      <c r="O147" s="80">
        <v>92</v>
      </c>
      <c r="P147" s="67" t="s">
        <v>814</v>
      </c>
      <c r="Q147" s="67">
        <v>15862241011</v>
      </c>
      <c r="R147" s="67" t="s">
        <v>815</v>
      </c>
      <c r="T147" s="80" t="s">
        <v>56</v>
      </c>
      <c r="U147" s="80" t="s">
        <v>171</v>
      </c>
      <c r="V147" s="177"/>
      <c r="W147" s="80" t="str">
        <f>IF(OR(studentdata[[#This Row],[Weekend 2025]]&lt;&gt;""),"Yes","")</f>
        <v/>
      </c>
      <c r="X147" s="80"/>
      <c r="Y147" s="80" t="str">
        <f>IF(OR(studentdata[[#This Row],[Evening 2025]]&lt;&gt;""),"Yes","")</f>
        <v/>
      </c>
      <c r="Z147" s="80"/>
      <c r="AA147" s="80"/>
      <c r="AB147" s="80" t="str">
        <f>IF(OR(studentdata[[#This Row],[Weekend 2025 Enrolled]]="Yes",studentdata[[#This Row],[Evening 2025 Enrolled]]="Yes"),"Yes","")</f>
        <v/>
      </c>
    </row>
    <row r="148" spans="1:28" x14ac:dyDescent="0.25">
      <c r="A148" s="80">
        <v>14</v>
      </c>
      <c r="C148" s="67" t="s">
        <v>1007</v>
      </c>
      <c r="D148" s="67" t="s">
        <v>68</v>
      </c>
      <c r="E148" s="67" t="s">
        <v>69</v>
      </c>
      <c r="F148" s="67">
        <v>48092</v>
      </c>
      <c r="G148" s="67" t="s">
        <v>1008</v>
      </c>
      <c r="H148" s="67" t="s">
        <v>1009</v>
      </c>
      <c r="I148" s="67" t="s">
        <v>1010</v>
      </c>
      <c r="J148" s="67"/>
      <c r="K148" s="67" t="s">
        <v>1011</v>
      </c>
      <c r="M148" s="80">
        <v>148</v>
      </c>
      <c r="N148" s="67" t="s">
        <v>1012</v>
      </c>
      <c r="O148" s="80">
        <v>93</v>
      </c>
      <c r="P148" s="67" t="s">
        <v>1013</v>
      </c>
      <c r="Q148" s="67">
        <v>13136030078</v>
      </c>
      <c r="R148" s="67" t="s">
        <v>1014</v>
      </c>
      <c r="S148" s="67">
        <v>13133275423</v>
      </c>
      <c r="T148" s="80" t="s">
        <v>46</v>
      </c>
      <c r="U148" s="80" t="s">
        <v>199</v>
      </c>
      <c r="V148" s="177"/>
      <c r="W148" s="80" t="str">
        <f>IF(OR(studentdata[[#This Row],[Weekend 2025]]&lt;&gt;""),"Yes","")</f>
        <v/>
      </c>
      <c r="X148" s="80"/>
      <c r="Y148" s="80" t="str">
        <f>IF(OR(studentdata[[#This Row],[Evening 2025]]&lt;&gt;""),"Yes","")</f>
        <v/>
      </c>
      <c r="Z148" s="80"/>
      <c r="AA148" s="80"/>
      <c r="AB148" s="80" t="str">
        <f>IF(OR(studentdata[[#This Row],[Weekend 2025 Enrolled]]="Yes",studentdata[[#This Row],[Evening 2025 Enrolled]]="Yes"),"Yes","")</f>
        <v/>
      </c>
    </row>
    <row r="149" spans="1:28" x14ac:dyDescent="0.25">
      <c r="A149" s="80">
        <v>8</v>
      </c>
      <c r="C149" s="67" t="s">
        <v>1007</v>
      </c>
      <c r="D149" s="67" t="s">
        <v>68</v>
      </c>
      <c r="E149" s="67" t="s">
        <v>69</v>
      </c>
      <c r="F149" s="67">
        <v>48092</v>
      </c>
      <c r="G149" s="67" t="s">
        <v>1008</v>
      </c>
      <c r="H149" s="67" t="s">
        <v>1009</v>
      </c>
      <c r="I149" s="67" t="s">
        <v>1010</v>
      </c>
      <c r="J149" s="67"/>
      <c r="K149" s="67" t="s">
        <v>1011</v>
      </c>
      <c r="M149" s="80">
        <v>149</v>
      </c>
      <c r="N149" s="67" t="s">
        <v>1015</v>
      </c>
      <c r="O149" s="80">
        <v>93</v>
      </c>
      <c r="P149" s="67" t="s">
        <v>1013</v>
      </c>
      <c r="Q149" s="67">
        <v>13136030078</v>
      </c>
      <c r="R149" s="67" t="s">
        <v>1014</v>
      </c>
      <c r="S149" s="67">
        <v>13133275423</v>
      </c>
      <c r="T149" s="80" t="s">
        <v>46</v>
      </c>
      <c r="U149" s="80" t="s">
        <v>52</v>
      </c>
      <c r="V149" s="177"/>
      <c r="W149" s="80" t="str">
        <f>IF(OR(studentdata[[#This Row],[Weekend 2025]]&lt;&gt;""),"Yes","")</f>
        <v/>
      </c>
      <c r="X149" s="80"/>
      <c r="Y149" s="80" t="str">
        <f>IF(OR(studentdata[[#This Row],[Evening 2025]]&lt;&gt;""),"Yes","")</f>
        <v/>
      </c>
      <c r="Z149" s="80"/>
      <c r="AA149" s="80"/>
      <c r="AB149" s="80" t="str">
        <f>IF(OR(studentdata[[#This Row],[Weekend 2025 Enrolled]]="Yes",studentdata[[#This Row],[Evening 2025 Enrolled]]="Yes"),"Yes","")</f>
        <v/>
      </c>
    </row>
    <row r="150" spans="1:28" x14ac:dyDescent="0.25">
      <c r="A150" s="80">
        <v>6</v>
      </c>
      <c r="C150" s="67" t="s">
        <v>1007</v>
      </c>
      <c r="D150" s="67" t="s">
        <v>68</v>
      </c>
      <c r="E150" s="67" t="s">
        <v>69</v>
      </c>
      <c r="F150" s="67">
        <v>48092</v>
      </c>
      <c r="G150" s="67" t="s">
        <v>1008</v>
      </c>
      <c r="H150" s="67" t="s">
        <v>1009</v>
      </c>
      <c r="I150" s="67" t="s">
        <v>1010</v>
      </c>
      <c r="J150" s="67"/>
      <c r="K150" s="67" t="s">
        <v>1011</v>
      </c>
      <c r="M150" s="80">
        <v>150</v>
      </c>
      <c r="N150" s="67" t="s">
        <v>1016</v>
      </c>
      <c r="O150" s="80">
        <v>93</v>
      </c>
      <c r="P150" s="67" t="s">
        <v>1013</v>
      </c>
      <c r="Q150" s="67">
        <v>13136030078</v>
      </c>
      <c r="R150" s="67" t="s">
        <v>1014</v>
      </c>
      <c r="S150" s="67">
        <v>13133275423</v>
      </c>
      <c r="T150" s="80" t="s">
        <v>46</v>
      </c>
      <c r="U150" s="80" t="s">
        <v>95</v>
      </c>
      <c r="V150" s="177"/>
      <c r="W150" s="80" t="str">
        <f>IF(OR(studentdata[[#This Row],[Weekend 2025]]&lt;&gt;""),"Yes","")</f>
        <v/>
      </c>
      <c r="X150" s="80"/>
      <c r="Y150" s="80" t="str">
        <f>IF(OR(studentdata[[#This Row],[Evening 2025]]&lt;&gt;""),"Yes","")</f>
        <v/>
      </c>
      <c r="Z150" s="80"/>
      <c r="AA150" s="80"/>
      <c r="AB150" s="80" t="str">
        <f>IF(OR(studentdata[[#This Row],[Weekend 2025 Enrolled]]="Yes",studentdata[[#This Row],[Evening 2025 Enrolled]]="Yes"),"Yes","")</f>
        <v/>
      </c>
    </row>
    <row r="151" spans="1:28" x14ac:dyDescent="0.25">
      <c r="A151" s="80">
        <v>7</v>
      </c>
      <c r="C151" s="67" t="s">
        <v>1017</v>
      </c>
      <c r="D151" s="67" t="s">
        <v>68</v>
      </c>
      <c r="E151" s="67" t="s">
        <v>69</v>
      </c>
      <c r="F151" s="67">
        <v>48092</v>
      </c>
      <c r="G151" s="67" t="s">
        <v>1018</v>
      </c>
      <c r="H151" s="67" t="s">
        <v>1014</v>
      </c>
      <c r="I151" s="67" t="s">
        <v>101</v>
      </c>
      <c r="J151" s="67"/>
      <c r="K151" s="67" t="s">
        <v>1019</v>
      </c>
      <c r="M151" s="80">
        <v>151</v>
      </c>
      <c r="N151" s="67" t="s">
        <v>1020</v>
      </c>
      <c r="O151" s="80">
        <v>94</v>
      </c>
      <c r="P151" s="67" t="s">
        <v>1021</v>
      </c>
      <c r="Q151" s="67">
        <v>12672317767</v>
      </c>
      <c r="R151" s="67" t="s">
        <v>1022</v>
      </c>
      <c r="S151" s="67">
        <v>15863283693</v>
      </c>
      <c r="T151" s="80" t="s">
        <v>46</v>
      </c>
      <c r="U151" s="80" t="s">
        <v>95</v>
      </c>
      <c r="V151" s="177"/>
      <c r="W151" s="80" t="str">
        <f>IF(OR(studentdata[[#This Row],[Weekend 2025]]&lt;&gt;""),"Yes","")</f>
        <v/>
      </c>
      <c r="X151" s="80"/>
      <c r="Y151" s="80" t="str">
        <f>IF(OR(studentdata[[#This Row],[Evening 2025]]&lt;&gt;""),"Yes","")</f>
        <v/>
      </c>
      <c r="Z151" s="80"/>
      <c r="AA151" s="80"/>
      <c r="AB151" s="80" t="str">
        <f>IF(OR(studentdata[[#This Row],[Weekend 2025 Enrolled]]="Yes",studentdata[[#This Row],[Evening 2025 Enrolled]]="Yes"),"Yes","")</f>
        <v/>
      </c>
    </row>
    <row r="152" spans="1:28" x14ac:dyDescent="0.25">
      <c r="A152" s="80">
        <v>6</v>
      </c>
      <c r="B152" s="67">
        <v>2</v>
      </c>
      <c r="C152" s="67" t="s">
        <v>92</v>
      </c>
      <c r="D152" s="67" t="s">
        <v>93</v>
      </c>
      <c r="E152" s="67" t="s">
        <v>69</v>
      </c>
      <c r="F152" s="67">
        <v>48310</v>
      </c>
      <c r="G152" s="67" t="s">
        <v>94</v>
      </c>
      <c r="I152" s="67"/>
      <c r="J152" s="67"/>
      <c r="M152" s="80">
        <v>152</v>
      </c>
      <c r="N152" s="67" t="s">
        <v>89</v>
      </c>
      <c r="O152" s="80">
        <v>95</v>
      </c>
      <c r="P152" s="67" t="s">
        <v>90</v>
      </c>
      <c r="Q152" s="67">
        <v>13133277976</v>
      </c>
      <c r="R152" s="67" t="s">
        <v>91</v>
      </c>
      <c r="T152" s="80" t="s">
        <v>46</v>
      </c>
      <c r="U152" s="80" t="s">
        <v>95</v>
      </c>
      <c r="V152" s="177"/>
      <c r="W152" s="80" t="str">
        <f>IF(OR(studentdata[[#This Row],[Weekend 2025]]&lt;&gt;""),"Yes","")</f>
        <v/>
      </c>
      <c r="X152" s="80"/>
      <c r="Y152" s="80" t="str">
        <f>IF(OR(studentdata[[#This Row],[Evening 2025]]&lt;&gt;""),"Yes","")</f>
        <v>Yes</v>
      </c>
      <c r="Z152" s="80">
        <v>13</v>
      </c>
      <c r="AA152" s="80"/>
      <c r="AB152" s="80" t="str">
        <f>IF(OR(studentdata[[#This Row],[Weekend 2025 Enrolled]]="Yes",studentdata[[#This Row],[Evening 2025 Enrolled]]="Yes"),"Yes","")</f>
        <v>Yes</v>
      </c>
    </row>
    <row r="153" spans="1:28" x14ac:dyDescent="0.25">
      <c r="A153" s="80">
        <v>5</v>
      </c>
      <c r="B153" s="67">
        <v>1</v>
      </c>
      <c r="C153" s="67" t="s">
        <v>92</v>
      </c>
      <c r="D153" s="67" t="s">
        <v>93</v>
      </c>
      <c r="E153" s="67" t="s">
        <v>69</v>
      </c>
      <c r="F153" s="67">
        <v>48310</v>
      </c>
      <c r="G153" s="67" t="s">
        <v>94</v>
      </c>
      <c r="I153" s="67"/>
      <c r="J153" s="67"/>
      <c r="M153" s="80">
        <v>153</v>
      </c>
      <c r="N153" s="67" t="s">
        <v>113</v>
      </c>
      <c r="O153" s="80">
        <v>95</v>
      </c>
      <c r="P153" s="67" t="s">
        <v>90</v>
      </c>
      <c r="Q153" s="67">
        <v>13133277976</v>
      </c>
      <c r="R153" s="67" t="s">
        <v>91</v>
      </c>
      <c r="T153" s="80" t="s">
        <v>46</v>
      </c>
      <c r="U153" s="80" t="s">
        <v>57</v>
      </c>
      <c r="V153" s="177"/>
      <c r="W153" s="80" t="str">
        <f>IF(OR(studentdata[[#This Row],[Weekend 2025]]&lt;&gt;""),"Yes","")</f>
        <v/>
      </c>
      <c r="X153" s="80"/>
      <c r="Y153" s="80" t="str">
        <f>IF(OR(studentdata[[#This Row],[Evening 2025]]&lt;&gt;""),"Yes","")</f>
        <v>Yes</v>
      </c>
      <c r="Z153" s="80">
        <v>6</v>
      </c>
      <c r="AA153" s="80"/>
      <c r="AB153" s="80" t="str">
        <f>IF(OR(studentdata[[#This Row],[Weekend 2025 Enrolled]]="Yes",studentdata[[#This Row],[Evening 2025 Enrolled]]="Yes"),"Yes","")</f>
        <v>Yes</v>
      </c>
    </row>
    <row r="154" spans="1:28" x14ac:dyDescent="0.25">
      <c r="A154" s="80">
        <v>7</v>
      </c>
      <c r="C154" s="67" t="s">
        <v>1023</v>
      </c>
      <c r="D154" s="67" t="s">
        <v>68</v>
      </c>
      <c r="E154" s="67" t="s">
        <v>69</v>
      </c>
      <c r="F154" s="67">
        <v>48091</v>
      </c>
      <c r="G154" s="67" t="s">
        <v>1024</v>
      </c>
      <c r="H154" s="67" t="s">
        <v>670</v>
      </c>
      <c r="I154" s="67" t="s">
        <v>75</v>
      </c>
      <c r="J154" s="67"/>
      <c r="K154" s="67" t="s">
        <v>1025</v>
      </c>
      <c r="M154" s="80">
        <v>154</v>
      </c>
      <c r="N154" s="67" t="s">
        <v>1026</v>
      </c>
      <c r="O154" s="80">
        <v>96</v>
      </c>
      <c r="P154" s="67" t="s">
        <v>1027</v>
      </c>
      <c r="Q154" s="67">
        <v>13473027246</v>
      </c>
      <c r="R154" s="67" t="s">
        <v>294</v>
      </c>
      <c r="S154" s="67">
        <v>13477127929</v>
      </c>
      <c r="T154" s="80" t="s">
        <v>46</v>
      </c>
      <c r="U154" s="80" t="s">
        <v>95</v>
      </c>
      <c r="V154" s="177"/>
      <c r="W154" s="80" t="str">
        <f>IF(OR(studentdata[[#This Row],[Weekend 2025]]&lt;&gt;""),"Yes","")</f>
        <v/>
      </c>
      <c r="X154" s="80"/>
      <c r="Y154" s="80" t="str">
        <f>IF(OR(studentdata[[#This Row],[Evening 2025]]&lt;&gt;""),"Yes","")</f>
        <v/>
      </c>
      <c r="Z154" s="80"/>
      <c r="AA154" s="80"/>
      <c r="AB154" s="80" t="str">
        <f>IF(OR(studentdata[[#This Row],[Weekend 2025 Enrolled]]="Yes",studentdata[[#This Row],[Evening 2025 Enrolled]]="Yes"),"Yes","")</f>
        <v/>
      </c>
    </row>
    <row r="155" spans="1:28" x14ac:dyDescent="0.25">
      <c r="A155" s="80">
        <v>7</v>
      </c>
      <c r="C155" s="67" t="s">
        <v>666</v>
      </c>
      <c r="D155" s="67" t="s">
        <v>68</v>
      </c>
      <c r="E155" s="67" t="s">
        <v>69</v>
      </c>
      <c r="F155" s="67">
        <v>48092</v>
      </c>
      <c r="H155" s="67" t="s">
        <v>667</v>
      </c>
      <c r="I155" s="67" t="s">
        <v>75</v>
      </c>
      <c r="J155" s="67"/>
      <c r="K155" s="67" t="s">
        <v>668</v>
      </c>
      <c r="M155" s="80">
        <v>155</v>
      </c>
      <c r="N155" s="67" t="s">
        <v>669</v>
      </c>
      <c r="O155" s="80">
        <v>97</v>
      </c>
      <c r="P155" s="67" t="s">
        <v>670</v>
      </c>
      <c r="Q155" s="67">
        <v>13477127929</v>
      </c>
      <c r="R155" s="67" t="s">
        <v>671</v>
      </c>
      <c r="S155" s="67">
        <v>15513267434</v>
      </c>
      <c r="T155" s="80" t="s">
        <v>46</v>
      </c>
      <c r="U155" s="80" t="s">
        <v>80</v>
      </c>
      <c r="V155" s="177" t="s">
        <v>137</v>
      </c>
      <c r="W155" s="80" t="str">
        <f>IF(OR(studentdata[[#This Row],[Weekend 2025]]&lt;&gt;""),"Yes","")</f>
        <v>Yes</v>
      </c>
      <c r="X155" s="80">
        <v>15</v>
      </c>
      <c r="Y155" s="80" t="str">
        <f>IF(OR(studentdata[[#This Row],[Evening 2025]]&lt;&gt;""),"Yes","")</f>
        <v/>
      </c>
      <c r="Z155" s="80"/>
      <c r="AA155" s="80"/>
      <c r="AB155" s="80" t="str">
        <f>IF(OR(studentdata[[#This Row],[Weekend 2025 Enrolled]]="Yes",studentdata[[#This Row],[Evening 2025 Enrolled]]="Yes"),"Yes","")</f>
        <v>Yes</v>
      </c>
    </row>
    <row r="156" spans="1:28" x14ac:dyDescent="0.25">
      <c r="A156" s="80">
        <v>7</v>
      </c>
      <c r="C156" s="67" t="s">
        <v>1028</v>
      </c>
      <c r="D156" s="67" t="s">
        <v>68</v>
      </c>
      <c r="E156" s="67" t="s">
        <v>69</v>
      </c>
      <c r="F156" s="67">
        <v>48092</v>
      </c>
      <c r="G156" s="67" t="s">
        <v>1029</v>
      </c>
      <c r="I156" s="67"/>
      <c r="J156" s="67"/>
      <c r="M156" s="80">
        <v>156</v>
      </c>
      <c r="N156" s="67" t="s">
        <v>1030</v>
      </c>
      <c r="O156" s="80">
        <v>98</v>
      </c>
      <c r="P156" s="67" t="s">
        <v>1031</v>
      </c>
      <c r="Q156" s="67">
        <v>13475932914</v>
      </c>
      <c r="R156" s="67" t="s">
        <v>1032</v>
      </c>
      <c r="S156" s="67">
        <v>13474762261</v>
      </c>
      <c r="T156" s="80" t="s">
        <v>46</v>
      </c>
      <c r="U156" s="80" t="s">
        <v>95</v>
      </c>
      <c r="V156" s="177"/>
      <c r="W156" s="80" t="str">
        <f>IF(OR(studentdata[[#This Row],[Weekend 2025]]&lt;&gt;""),"Yes","")</f>
        <v/>
      </c>
      <c r="X156" s="80"/>
      <c r="Y156" s="80" t="str">
        <f>IF(OR(studentdata[[#This Row],[Evening 2025]]&lt;&gt;""),"Yes","")</f>
        <v/>
      </c>
      <c r="Z156" s="80"/>
      <c r="AA156" s="80"/>
      <c r="AB156" s="80" t="str">
        <f>IF(OR(studentdata[[#This Row],[Weekend 2025 Enrolled]]="Yes",studentdata[[#This Row],[Evening 2025 Enrolled]]="Yes"),"Yes","")</f>
        <v/>
      </c>
    </row>
    <row r="157" spans="1:28" x14ac:dyDescent="0.25">
      <c r="A157" s="80">
        <v>8</v>
      </c>
      <c r="C157" s="67" t="s">
        <v>295</v>
      </c>
      <c r="D157" s="67" t="s">
        <v>93</v>
      </c>
      <c r="E157" s="67" t="s">
        <v>69</v>
      </c>
      <c r="F157" s="67">
        <v>48310</v>
      </c>
      <c r="I157" s="67"/>
      <c r="J157" s="67"/>
      <c r="M157" s="80">
        <v>157</v>
      </c>
      <c r="N157" s="67" t="s">
        <v>483</v>
      </c>
      <c r="O157" s="80">
        <v>99</v>
      </c>
      <c r="P157" s="67" t="s">
        <v>297</v>
      </c>
      <c r="Q157" s="67">
        <v>13133189073</v>
      </c>
      <c r="R157" s="67" t="s">
        <v>298</v>
      </c>
      <c r="S157" s="67">
        <v>13133189073</v>
      </c>
      <c r="T157" s="80" t="s">
        <v>56</v>
      </c>
      <c r="U157" s="80" t="s">
        <v>80</v>
      </c>
      <c r="V157" s="177" t="s">
        <v>142</v>
      </c>
      <c r="W157" s="80" t="str">
        <f>IF(OR(studentdata[[#This Row],[Weekend 2025]]&lt;&gt;""),"Yes","")</f>
        <v>Yes</v>
      </c>
      <c r="X157" s="80">
        <v>8</v>
      </c>
      <c r="Y157" s="80" t="str">
        <f>IF(OR(studentdata[[#This Row],[Evening 2025]]&lt;&gt;""),"Yes","")</f>
        <v/>
      </c>
      <c r="Z157" s="80"/>
      <c r="AA157" s="80"/>
      <c r="AB157" s="80" t="str">
        <f>IF(OR(studentdata[[#This Row],[Weekend 2025 Enrolled]]="Yes",studentdata[[#This Row],[Evening 2025 Enrolled]]="Yes"),"Yes","")</f>
        <v>Yes</v>
      </c>
    </row>
    <row r="158" spans="1:28" x14ac:dyDescent="0.25">
      <c r="A158" s="80">
        <v>7</v>
      </c>
      <c r="C158" s="67" t="s">
        <v>295</v>
      </c>
      <c r="D158" s="67" t="s">
        <v>93</v>
      </c>
      <c r="E158" s="67" t="s">
        <v>69</v>
      </c>
      <c r="F158" s="67">
        <v>48310</v>
      </c>
      <c r="I158" s="67"/>
      <c r="J158" s="67"/>
      <c r="M158" s="80">
        <v>158</v>
      </c>
      <c r="N158" s="67" t="s">
        <v>438</v>
      </c>
      <c r="O158" s="80">
        <v>99</v>
      </c>
      <c r="P158" s="67" t="s">
        <v>297</v>
      </c>
      <c r="Q158" s="67">
        <v>13133189073</v>
      </c>
      <c r="R158" s="67" t="s">
        <v>298</v>
      </c>
      <c r="S158" s="67">
        <v>13133189073</v>
      </c>
      <c r="T158" s="80" t="s">
        <v>56</v>
      </c>
      <c r="U158" s="80" t="s">
        <v>95</v>
      </c>
      <c r="V158" s="177" t="s">
        <v>137</v>
      </c>
      <c r="W158" s="80" t="str">
        <f>IF(OR(studentdata[[#This Row],[Weekend 2025]]&lt;&gt;""),"Yes","")</f>
        <v>Yes</v>
      </c>
      <c r="X158" s="80">
        <v>3</v>
      </c>
      <c r="Y158" s="80" t="str">
        <f>IF(OR(studentdata[[#This Row],[Evening 2025]]&lt;&gt;""),"Yes","")</f>
        <v/>
      </c>
      <c r="Z158" s="80"/>
      <c r="AA158" s="80"/>
      <c r="AB158" s="80" t="str">
        <f>IF(OR(studentdata[[#This Row],[Weekend 2025 Enrolled]]="Yes",studentdata[[#This Row],[Evening 2025 Enrolled]]="Yes"),"Yes","")</f>
        <v>Yes</v>
      </c>
    </row>
    <row r="159" spans="1:28" x14ac:dyDescent="0.25">
      <c r="A159" s="80">
        <v>11</v>
      </c>
      <c r="C159" s="67" t="s">
        <v>295</v>
      </c>
      <c r="D159" s="67" t="s">
        <v>93</v>
      </c>
      <c r="E159" s="67" t="s">
        <v>69</v>
      </c>
      <c r="F159" s="67">
        <v>48310</v>
      </c>
      <c r="I159" s="67"/>
      <c r="J159" s="67"/>
      <c r="M159" s="80">
        <v>159</v>
      </c>
      <c r="N159" s="88" t="s">
        <v>296</v>
      </c>
      <c r="O159" s="80">
        <v>99</v>
      </c>
      <c r="P159" s="67" t="s">
        <v>297</v>
      </c>
      <c r="Q159" s="67">
        <v>13133189073</v>
      </c>
      <c r="R159" s="67" t="s">
        <v>298</v>
      </c>
      <c r="S159" s="67">
        <v>13133189073</v>
      </c>
      <c r="T159" s="80" t="s">
        <v>56</v>
      </c>
      <c r="U159" s="80" t="s">
        <v>156</v>
      </c>
      <c r="V159" s="177">
        <v>3</v>
      </c>
      <c r="W159" s="80" t="str">
        <f>IF(OR(studentdata[[#This Row],[Weekend 2025]]&lt;&gt;""),"Yes","")</f>
        <v>Yes</v>
      </c>
      <c r="X159" s="80">
        <v>10</v>
      </c>
      <c r="Y159" s="80" t="str">
        <f>IF(OR(studentdata[[#This Row],[Evening 2025]]&lt;&gt;""),"Yes","")</f>
        <v/>
      </c>
      <c r="Z159" s="80"/>
      <c r="AA159" s="80"/>
      <c r="AB159" s="80" t="str">
        <f>IF(OR(studentdata[[#This Row],[Weekend 2025 Enrolled]]="Yes",studentdata[[#This Row],[Evening 2025 Enrolled]]="Yes"),"Yes","")</f>
        <v>Yes</v>
      </c>
    </row>
    <row r="160" spans="1:28" x14ac:dyDescent="0.25">
      <c r="A160" s="80">
        <v>11</v>
      </c>
      <c r="C160" s="67" t="s">
        <v>313</v>
      </c>
      <c r="D160" s="67" t="s">
        <v>68</v>
      </c>
      <c r="E160" s="67" t="s">
        <v>69</v>
      </c>
      <c r="F160" s="67">
        <v>48091</v>
      </c>
      <c r="G160" s="67" t="s">
        <v>314</v>
      </c>
      <c r="I160" s="67"/>
      <c r="J160" s="67"/>
      <c r="M160" s="80">
        <v>160</v>
      </c>
      <c r="N160" s="67" t="s">
        <v>315</v>
      </c>
      <c r="O160" s="80">
        <v>100</v>
      </c>
      <c r="P160" s="67" t="s">
        <v>316</v>
      </c>
      <c r="Q160" s="67">
        <v>13137752598</v>
      </c>
      <c r="R160" s="67" t="s">
        <v>317</v>
      </c>
      <c r="S160" s="67">
        <v>13133278899</v>
      </c>
      <c r="T160" s="80" t="s">
        <v>56</v>
      </c>
      <c r="U160" s="80" t="s">
        <v>156</v>
      </c>
      <c r="V160" s="177">
        <v>3</v>
      </c>
      <c r="W160" s="80" t="str">
        <f>IF(OR(studentdata[[#This Row],[Weekend 2025]]&lt;&gt;""),"Yes","")</f>
        <v>Yes</v>
      </c>
      <c r="X160" s="80">
        <v>15</v>
      </c>
      <c r="Y160" s="80" t="str">
        <f>IF(OR(studentdata[[#This Row],[Evening 2025]]&lt;&gt;""),"Yes","")</f>
        <v/>
      </c>
      <c r="Z160" s="80"/>
      <c r="AA160" s="80"/>
      <c r="AB160" s="80" t="str">
        <f>IF(OR(studentdata[[#This Row],[Weekend 2025 Enrolled]]="Yes",studentdata[[#This Row],[Evening 2025 Enrolled]]="Yes"),"Yes","")</f>
        <v>Yes</v>
      </c>
    </row>
    <row r="161" spans="1:28" x14ac:dyDescent="0.25">
      <c r="A161" s="80">
        <v>6</v>
      </c>
      <c r="C161" s="67" t="s">
        <v>313</v>
      </c>
      <c r="D161" s="67" t="s">
        <v>68</v>
      </c>
      <c r="E161" s="67" t="s">
        <v>69</v>
      </c>
      <c r="F161" s="67">
        <v>48091</v>
      </c>
      <c r="G161" s="67" t="s">
        <v>314</v>
      </c>
      <c r="I161" s="67"/>
      <c r="J161" s="67"/>
      <c r="M161" s="80">
        <v>161</v>
      </c>
      <c r="N161" s="67" t="s">
        <v>633</v>
      </c>
      <c r="O161" s="80">
        <v>100</v>
      </c>
      <c r="P161" s="67" t="s">
        <v>316</v>
      </c>
      <c r="Q161" s="67">
        <v>13137752598</v>
      </c>
      <c r="R161" s="67" t="s">
        <v>317</v>
      </c>
      <c r="S161" s="67">
        <v>13133278899</v>
      </c>
      <c r="T161" s="80" t="s">
        <v>46</v>
      </c>
      <c r="U161" s="80" t="s">
        <v>171</v>
      </c>
      <c r="V161" s="177" t="s">
        <v>48</v>
      </c>
      <c r="W161" s="80" t="str">
        <f>IF(OR(studentdata[[#This Row],[Weekend 2025]]&lt;&gt;""),"Yes","")</f>
        <v>Yes</v>
      </c>
      <c r="X161" s="80">
        <v>10</v>
      </c>
      <c r="Y161" s="80" t="str">
        <f>IF(OR(studentdata[[#This Row],[Evening 2025]]&lt;&gt;""),"Yes","")</f>
        <v/>
      </c>
      <c r="Z161" s="80"/>
      <c r="AA161" s="80"/>
      <c r="AB161" s="80" t="str">
        <f>IF(OR(studentdata[[#This Row],[Weekend 2025 Enrolled]]="Yes",studentdata[[#This Row],[Evening 2025 Enrolled]]="Yes"),"Yes","")</f>
        <v>Yes</v>
      </c>
    </row>
    <row r="162" spans="1:28" x14ac:dyDescent="0.25">
      <c r="A162" s="80">
        <v>5</v>
      </c>
      <c r="C162" s="67" t="s">
        <v>313</v>
      </c>
      <c r="D162" s="67" t="s">
        <v>68</v>
      </c>
      <c r="E162" s="67" t="s">
        <v>69</v>
      </c>
      <c r="F162" s="67">
        <v>48091</v>
      </c>
      <c r="G162" s="67" t="s">
        <v>314</v>
      </c>
      <c r="I162" s="67"/>
      <c r="J162" s="67"/>
      <c r="M162" s="80">
        <v>162</v>
      </c>
      <c r="N162" s="67" t="s">
        <v>405</v>
      </c>
      <c r="O162" s="80">
        <v>100</v>
      </c>
      <c r="P162" s="67" t="s">
        <v>316</v>
      </c>
      <c r="Q162" s="67">
        <v>13137752598</v>
      </c>
      <c r="R162" s="67" t="s">
        <v>317</v>
      </c>
      <c r="S162" s="67">
        <v>13133278899</v>
      </c>
      <c r="T162" s="80" t="s">
        <v>56</v>
      </c>
      <c r="U162" s="80" t="s">
        <v>171</v>
      </c>
      <c r="V162" s="177" t="s">
        <v>48</v>
      </c>
      <c r="W162" s="80" t="str">
        <f>IF(OR(studentdata[[#This Row],[Weekend 2025]]&lt;&gt;""),"Yes","")</f>
        <v>Yes</v>
      </c>
      <c r="X162" s="80">
        <v>14</v>
      </c>
      <c r="Y162" s="80" t="str">
        <f>IF(OR(studentdata[[#This Row],[Evening 2025]]&lt;&gt;""),"Yes","")</f>
        <v/>
      </c>
      <c r="Z162" s="80"/>
      <c r="AA162" s="80"/>
      <c r="AB162" s="80" t="str">
        <f>IF(OR(studentdata[[#This Row],[Weekend 2025 Enrolled]]="Yes",studentdata[[#This Row],[Evening 2025 Enrolled]]="Yes"),"Yes","")</f>
        <v>Yes</v>
      </c>
    </row>
    <row r="163" spans="1:28" x14ac:dyDescent="0.25">
      <c r="A163" s="80">
        <v>5</v>
      </c>
      <c r="C163" s="67" t="s">
        <v>73</v>
      </c>
      <c r="D163" s="67" t="s">
        <v>68</v>
      </c>
      <c r="E163" s="67" t="s">
        <v>69</v>
      </c>
      <c r="F163" s="67">
        <v>48091</v>
      </c>
      <c r="G163" s="67" t="s">
        <v>816</v>
      </c>
      <c r="I163" s="67"/>
      <c r="J163" s="67"/>
      <c r="M163" s="80">
        <v>163</v>
      </c>
      <c r="N163" s="67" t="s">
        <v>817</v>
      </c>
      <c r="O163" s="80">
        <v>101</v>
      </c>
      <c r="P163" s="67" t="s">
        <v>74</v>
      </c>
      <c r="Q163" s="67">
        <v>13136031250</v>
      </c>
      <c r="R163" s="67" t="s">
        <v>818</v>
      </c>
      <c r="T163" s="80" t="s">
        <v>56</v>
      </c>
      <c r="U163" s="80" t="s">
        <v>171</v>
      </c>
      <c r="V163" s="177"/>
      <c r="W163" s="80" t="str">
        <f>IF(OR(studentdata[[#This Row],[Weekend 2025]]&lt;&gt;""),"Yes","")</f>
        <v/>
      </c>
      <c r="X163" s="80"/>
      <c r="Y163" s="80" t="str">
        <f>IF(OR(studentdata[[#This Row],[Evening 2025]]&lt;&gt;""),"Yes","")</f>
        <v/>
      </c>
      <c r="Z163" s="80"/>
      <c r="AA163" s="80"/>
      <c r="AB163" s="80" t="str">
        <f>IF(OR(studentdata[[#This Row],[Weekend 2025 Enrolled]]="Yes",studentdata[[#This Row],[Evening 2025 Enrolled]]="Yes"),"Yes","")</f>
        <v/>
      </c>
    </row>
    <row r="164" spans="1:28" x14ac:dyDescent="0.25">
      <c r="A164" s="80">
        <v>7</v>
      </c>
      <c r="B164" s="67" t="s">
        <v>239</v>
      </c>
      <c r="C164" s="67" t="s">
        <v>406</v>
      </c>
      <c r="D164" s="67" t="s">
        <v>68</v>
      </c>
      <c r="E164" s="67" t="s">
        <v>69</v>
      </c>
      <c r="F164" s="67">
        <v>48089</v>
      </c>
      <c r="I164" s="67"/>
      <c r="J164" s="67"/>
      <c r="M164" s="80">
        <v>164</v>
      </c>
      <c r="N164" s="67" t="s">
        <v>642</v>
      </c>
      <c r="O164" s="80">
        <v>102</v>
      </c>
      <c r="P164" s="67" t="s">
        <v>408</v>
      </c>
      <c r="Q164" s="67">
        <v>12483618881</v>
      </c>
      <c r="R164" s="67" t="s">
        <v>294</v>
      </c>
      <c r="T164" s="80" t="s">
        <v>46</v>
      </c>
      <c r="U164" s="80"/>
      <c r="V164" s="177" t="s">
        <v>137</v>
      </c>
      <c r="W164" s="80" t="str">
        <f>IF(OR(studentdata[[#This Row],[Weekend 2025]]&lt;&gt;""),"Yes","")</f>
        <v>Yes</v>
      </c>
      <c r="X164" s="80">
        <v>3</v>
      </c>
      <c r="Y164" s="80" t="str">
        <f>IF(OR(studentdata[[#This Row],[Evening 2025]]&lt;&gt;""),"Yes","")</f>
        <v/>
      </c>
      <c r="Z164" s="80"/>
      <c r="AA164" s="80"/>
      <c r="AB164" s="80" t="str">
        <f>IF(OR(studentdata[[#This Row],[Weekend 2025 Enrolled]]="Yes",studentdata[[#This Row],[Evening 2025 Enrolled]]="Yes"),"Yes","")</f>
        <v>Yes</v>
      </c>
    </row>
    <row r="165" spans="1:28" x14ac:dyDescent="0.25">
      <c r="A165" s="80">
        <v>5</v>
      </c>
      <c r="C165" s="67" t="s">
        <v>406</v>
      </c>
      <c r="D165" s="67" t="s">
        <v>68</v>
      </c>
      <c r="E165" s="67" t="s">
        <v>69</v>
      </c>
      <c r="F165" s="67">
        <v>48089</v>
      </c>
      <c r="I165" s="67"/>
      <c r="J165" s="67"/>
      <c r="M165" s="80">
        <v>165</v>
      </c>
      <c r="N165" s="67" t="s">
        <v>407</v>
      </c>
      <c r="O165" s="80">
        <v>102</v>
      </c>
      <c r="P165" s="67" t="s">
        <v>408</v>
      </c>
      <c r="Q165" s="67">
        <v>12483618881</v>
      </c>
      <c r="R165" s="67" t="s">
        <v>294</v>
      </c>
      <c r="T165" s="80" t="s">
        <v>56</v>
      </c>
      <c r="U165" s="80"/>
      <c r="V165" s="177" t="s">
        <v>48</v>
      </c>
      <c r="W165" s="80" t="str">
        <f>IF(OR(studentdata[[#This Row],[Weekend 2025]]&lt;&gt;""),"Yes","")</f>
        <v>Yes</v>
      </c>
      <c r="X165" s="80">
        <v>15</v>
      </c>
      <c r="Y165" s="80" t="str">
        <f>IF(OR(studentdata[[#This Row],[Evening 2025]]&lt;&gt;""),"Yes","")</f>
        <v/>
      </c>
      <c r="Z165" s="80"/>
      <c r="AA165" s="80"/>
      <c r="AB165" s="80" t="str">
        <f>IF(OR(studentdata[[#This Row],[Weekend 2025 Enrolled]]="Yes",studentdata[[#This Row],[Evening 2025 Enrolled]]="Yes"),"Yes","")</f>
        <v>Yes</v>
      </c>
    </row>
    <row r="166" spans="1:28" x14ac:dyDescent="0.25">
      <c r="A166" s="80">
        <v>9</v>
      </c>
      <c r="C166" s="67" t="s">
        <v>819</v>
      </c>
      <c r="D166" s="67" t="s">
        <v>68</v>
      </c>
      <c r="E166" s="67" t="s">
        <v>69</v>
      </c>
      <c r="F166" s="67">
        <v>48091</v>
      </c>
      <c r="I166" s="67"/>
      <c r="J166" s="67"/>
      <c r="M166" s="80">
        <v>166</v>
      </c>
      <c r="N166" s="67" t="s">
        <v>1033</v>
      </c>
      <c r="O166" s="80">
        <v>103</v>
      </c>
      <c r="P166" s="67" t="s">
        <v>821</v>
      </c>
      <c r="Q166" s="67">
        <v>13134552075</v>
      </c>
      <c r="R166" s="67" t="s">
        <v>822</v>
      </c>
      <c r="S166" s="67">
        <v>13135199772</v>
      </c>
      <c r="T166" s="80" t="s">
        <v>46</v>
      </c>
      <c r="U166" s="80" t="s">
        <v>80</v>
      </c>
      <c r="V166" s="177"/>
      <c r="W166" s="80" t="str">
        <f>IF(OR(studentdata[[#This Row],[Weekend 2025]]&lt;&gt;""),"Yes","")</f>
        <v/>
      </c>
      <c r="X166" s="80"/>
      <c r="Y166" s="80" t="str">
        <f>IF(OR(studentdata[[#This Row],[Evening 2025]]&lt;&gt;""),"Yes","")</f>
        <v/>
      </c>
      <c r="Z166" s="80"/>
      <c r="AA166" s="80"/>
      <c r="AB166" s="80" t="str">
        <f>IF(OR(studentdata[[#This Row],[Weekend 2025 Enrolled]]="Yes",studentdata[[#This Row],[Evening 2025 Enrolled]]="Yes"),"Yes","")</f>
        <v/>
      </c>
    </row>
    <row r="167" spans="1:28" x14ac:dyDescent="0.25">
      <c r="A167" s="80">
        <v>7</v>
      </c>
      <c r="C167" s="67" t="s">
        <v>819</v>
      </c>
      <c r="D167" s="67" t="s">
        <v>68</v>
      </c>
      <c r="E167" s="67" t="s">
        <v>69</v>
      </c>
      <c r="F167" s="67">
        <v>48091</v>
      </c>
      <c r="I167" s="67"/>
      <c r="J167" s="67"/>
      <c r="M167" s="80">
        <v>167</v>
      </c>
      <c r="N167" s="67" t="s">
        <v>820</v>
      </c>
      <c r="O167" s="80">
        <v>103</v>
      </c>
      <c r="P167" s="67" t="s">
        <v>821</v>
      </c>
      <c r="Q167" s="67">
        <v>13134552075</v>
      </c>
      <c r="R167" s="67" t="s">
        <v>822</v>
      </c>
      <c r="S167" s="67">
        <v>13135199772</v>
      </c>
      <c r="T167" s="80" t="s">
        <v>56</v>
      </c>
      <c r="U167" s="80" t="s">
        <v>171</v>
      </c>
      <c r="V167" s="177"/>
      <c r="W167" s="80" t="str">
        <f>IF(OR(studentdata[[#This Row],[Weekend 2025]]&lt;&gt;""),"Yes","")</f>
        <v/>
      </c>
      <c r="X167" s="80"/>
      <c r="Y167" s="80" t="str">
        <f>IF(OR(studentdata[[#This Row],[Evening 2025]]&lt;&gt;""),"Yes","")</f>
        <v/>
      </c>
      <c r="Z167" s="80"/>
      <c r="AA167" s="80"/>
      <c r="AB167" s="80" t="str">
        <f>IF(OR(studentdata[[#This Row],[Weekend 2025 Enrolled]]="Yes",studentdata[[#This Row],[Evening 2025 Enrolled]]="Yes"),"Yes","")</f>
        <v/>
      </c>
    </row>
    <row r="168" spans="1:28" x14ac:dyDescent="0.25">
      <c r="A168" s="80">
        <v>6</v>
      </c>
      <c r="C168" s="67" t="s">
        <v>823</v>
      </c>
      <c r="D168" s="67" t="s">
        <v>68</v>
      </c>
      <c r="E168" s="67" t="s">
        <v>69</v>
      </c>
      <c r="F168" s="67">
        <v>48091</v>
      </c>
      <c r="I168" s="67"/>
      <c r="J168" s="67"/>
      <c r="M168" s="80">
        <v>168</v>
      </c>
      <c r="N168" s="67" t="s">
        <v>824</v>
      </c>
      <c r="O168" s="80">
        <v>104</v>
      </c>
      <c r="P168" s="67" t="s">
        <v>825</v>
      </c>
      <c r="Q168" s="67">
        <v>15863446249</v>
      </c>
      <c r="R168" s="67" t="s">
        <v>826</v>
      </c>
      <c r="T168" s="80" t="s">
        <v>56</v>
      </c>
      <c r="U168" s="80" t="s">
        <v>171</v>
      </c>
      <c r="V168" s="177"/>
      <c r="W168" s="80" t="str">
        <f>IF(OR(studentdata[[#This Row],[Weekend 2025]]&lt;&gt;""),"Yes","")</f>
        <v/>
      </c>
      <c r="X168" s="80"/>
      <c r="Y168" s="80" t="str">
        <f>IF(OR(studentdata[[#This Row],[Evening 2025]]&lt;&gt;""),"Yes","")</f>
        <v/>
      </c>
      <c r="Z168" s="80"/>
      <c r="AA168" s="80"/>
      <c r="AB168" s="80" t="str">
        <f>IF(OR(studentdata[[#This Row],[Weekend 2025 Enrolled]]="Yes",studentdata[[#This Row],[Evening 2025 Enrolled]]="Yes"),"Yes","")</f>
        <v/>
      </c>
    </row>
    <row r="169" spans="1:28" x14ac:dyDescent="0.25">
      <c r="A169" s="80">
        <v>6</v>
      </c>
      <c r="B169" s="67">
        <v>1</v>
      </c>
      <c r="C169" s="67" t="s">
        <v>67</v>
      </c>
      <c r="D169" s="67" t="s">
        <v>68</v>
      </c>
      <c r="E169" s="67" t="s">
        <v>69</v>
      </c>
      <c r="F169" s="67">
        <v>48092</v>
      </c>
      <c r="I169" s="67"/>
      <c r="J169" s="67"/>
      <c r="M169" s="80">
        <v>169</v>
      </c>
      <c r="N169" s="67" t="s">
        <v>64</v>
      </c>
      <c r="O169" s="80">
        <v>105</v>
      </c>
      <c r="P169" s="67" t="s">
        <v>65</v>
      </c>
      <c r="Q169" s="67">
        <v>13476538722</v>
      </c>
      <c r="R169" s="67" t="s">
        <v>66</v>
      </c>
      <c r="T169" s="80" t="s">
        <v>56</v>
      </c>
      <c r="U169" s="80" t="s">
        <v>57</v>
      </c>
      <c r="V169" s="177"/>
      <c r="W169" s="80" t="str">
        <f>IF(OR(studentdata[[#This Row],[Weekend 2025]]&lt;&gt;""),"Yes","")</f>
        <v/>
      </c>
      <c r="X169" s="80"/>
      <c r="Y169" s="80" t="str">
        <f>IF(OR(studentdata[[#This Row],[Evening 2025]]&lt;&gt;""),"Yes","")</f>
        <v>Yes</v>
      </c>
      <c r="Z169" s="80">
        <v>8</v>
      </c>
      <c r="AA169" s="80"/>
      <c r="AB169" s="80" t="str">
        <f>IF(OR(studentdata[[#This Row],[Weekend 2025 Enrolled]]="Yes",studentdata[[#This Row],[Evening 2025 Enrolled]]="Yes"),"Yes","")</f>
        <v>Yes</v>
      </c>
    </row>
    <row r="170" spans="1:28" x14ac:dyDescent="0.25">
      <c r="A170" s="80">
        <v>5</v>
      </c>
      <c r="C170" s="67" t="s">
        <v>1034</v>
      </c>
      <c r="D170" s="67" t="s">
        <v>68</v>
      </c>
      <c r="E170" s="67" t="s">
        <v>69</v>
      </c>
      <c r="F170" s="67">
        <v>48091</v>
      </c>
      <c r="G170" s="67" t="s">
        <v>1035</v>
      </c>
      <c r="I170" s="67"/>
      <c r="J170" s="67"/>
      <c r="M170" s="80">
        <v>170</v>
      </c>
      <c r="N170" s="67" t="s">
        <v>1036</v>
      </c>
      <c r="O170" s="80">
        <v>106</v>
      </c>
      <c r="P170" s="67" t="s">
        <v>1037</v>
      </c>
      <c r="Q170" s="67">
        <v>13472782116</v>
      </c>
      <c r="R170" s="67" t="s">
        <v>1038</v>
      </c>
      <c r="S170" s="67">
        <v>13136616802</v>
      </c>
      <c r="T170" s="80" t="s">
        <v>46</v>
      </c>
      <c r="U170" s="80" t="s">
        <v>171</v>
      </c>
      <c r="V170" s="177"/>
      <c r="W170" s="80" t="str">
        <f>IF(OR(studentdata[[#This Row],[Weekend 2025]]&lt;&gt;""),"Yes","")</f>
        <v/>
      </c>
      <c r="X170" s="80"/>
      <c r="Y170" s="80" t="str">
        <f>IF(OR(studentdata[[#This Row],[Evening 2025]]&lt;&gt;""),"Yes","")</f>
        <v/>
      </c>
      <c r="Z170" s="80"/>
      <c r="AA170" s="80"/>
      <c r="AB170" s="80" t="str">
        <f>IF(OR(studentdata[[#This Row],[Weekend 2025 Enrolled]]="Yes",studentdata[[#This Row],[Evening 2025 Enrolled]]="Yes"),"Yes","")</f>
        <v/>
      </c>
    </row>
    <row r="171" spans="1:28" x14ac:dyDescent="0.25">
      <c r="A171" s="80">
        <v>7</v>
      </c>
      <c r="C171" s="67" t="s">
        <v>1039</v>
      </c>
      <c r="D171" s="67" t="s">
        <v>68</v>
      </c>
      <c r="E171" s="67" t="s">
        <v>69</v>
      </c>
      <c r="F171" s="67">
        <v>48091</v>
      </c>
      <c r="G171" s="67" t="s">
        <v>1040</v>
      </c>
      <c r="I171" s="67"/>
      <c r="J171" s="67"/>
      <c r="M171" s="80">
        <v>171</v>
      </c>
      <c r="N171" s="67" t="s">
        <v>1041</v>
      </c>
      <c r="O171" s="80">
        <v>107</v>
      </c>
      <c r="P171" s="67" t="s">
        <v>1042</v>
      </c>
      <c r="Q171" s="67">
        <v>13137238562</v>
      </c>
      <c r="R171" s="67" t="s">
        <v>1043</v>
      </c>
      <c r="S171" s="67">
        <v>13133123790</v>
      </c>
      <c r="T171" s="80" t="s">
        <v>46</v>
      </c>
      <c r="U171" s="80"/>
      <c r="V171" s="177"/>
      <c r="W171" s="80" t="str">
        <f>IF(OR(studentdata[[#This Row],[Weekend 2025]]&lt;&gt;""),"Yes","")</f>
        <v/>
      </c>
      <c r="X171" s="80"/>
      <c r="Y171" s="80" t="str">
        <f>IF(OR(studentdata[[#This Row],[Evening 2025]]&lt;&gt;""),"Yes","")</f>
        <v/>
      </c>
      <c r="Z171" s="80"/>
      <c r="AA171" s="80"/>
      <c r="AB171" s="80" t="str">
        <f>IF(OR(studentdata[[#This Row],[Weekend 2025 Enrolled]]="Yes",studentdata[[#This Row],[Evening 2025 Enrolled]]="Yes"),"Yes","")</f>
        <v/>
      </c>
    </row>
    <row r="172" spans="1:28" x14ac:dyDescent="0.25">
      <c r="A172" s="80">
        <v>5</v>
      </c>
      <c r="C172" s="67" t="s">
        <v>1039</v>
      </c>
      <c r="D172" s="67" t="s">
        <v>68</v>
      </c>
      <c r="E172" s="67" t="s">
        <v>69</v>
      </c>
      <c r="F172" s="67">
        <v>48091</v>
      </c>
      <c r="G172" s="67" t="s">
        <v>1040</v>
      </c>
      <c r="I172" s="67"/>
      <c r="J172" s="67"/>
      <c r="M172" s="80">
        <v>172</v>
      </c>
      <c r="N172" s="67" t="s">
        <v>1044</v>
      </c>
      <c r="O172" s="80">
        <v>107</v>
      </c>
      <c r="P172" s="67" t="s">
        <v>1042</v>
      </c>
      <c r="Q172" s="67">
        <v>13137238562</v>
      </c>
      <c r="R172" s="67" t="s">
        <v>1043</v>
      </c>
      <c r="S172" s="67">
        <v>13133123790</v>
      </c>
      <c r="T172" s="80" t="s">
        <v>46</v>
      </c>
      <c r="U172" s="80"/>
      <c r="V172" s="177"/>
      <c r="W172" s="80" t="str">
        <f>IF(OR(studentdata[[#This Row],[Weekend 2025]]&lt;&gt;""),"Yes","")</f>
        <v/>
      </c>
      <c r="X172" s="80"/>
      <c r="Y172" s="80" t="str">
        <f>IF(OR(studentdata[[#This Row],[Evening 2025]]&lt;&gt;""),"Yes","")</f>
        <v/>
      </c>
      <c r="Z172" s="80"/>
      <c r="AA172" s="80"/>
      <c r="AB172" s="80" t="str">
        <f>IF(OR(studentdata[[#This Row],[Weekend 2025 Enrolled]]="Yes",studentdata[[#This Row],[Evening 2025 Enrolled]]="Yes"),"Yes","")</f>
        <v/>
      </c>
    </row>
    <row r="173" spans="1:28" x14ac:dyDescent="0.25">
      <c r="C173" s="67" t="s">
        <v>394</v>
      </c>
      <c r="D173" s="67" t="s">
        <v>68</v>
      </c>
      <c r="E173" s="67" t="s">
        <v>69</v>
      </c>
      <c r="F173" s="67">
        <v>48071</v>
      </c>
      <c r="H173" s="67" t="s">
        <v>395</v>
      </c>
      <c r="I173" s="67"/>
      <c r="J173" s="67"/>
      <c r="M173" s="80">
        <v>173</v>
      </c>
      <c r="N173" s="67" t="s">
        <v>1045</v>
      </c>
      <c r="O173" s="80">
        <v>108</v>
      </c>
      <c r="P173" s="67" t="s">
        <v>397</v>
      </c>
      <c r="Q173" s="67">
        <v>13133661523</v>
      </c>
      <c r="R173" s="67" t="s">
        <v>294</v>
      </c>
      <c r="T173" s="80" t="s">
        <v>46</v>
      </c>
      <c r="U173" s="80"/>
      <c r="V173" s="177"/>
      <c r="W173" s="80" t="str">
        <f>IF(OR(studentdata[[#This Row],[Weekend 2025]]&lt;&gt;""),"Yes","")</f>
        <v/>
      </c>
      <c r="X173" s="80"/>
      <c r="Y173" s="80" t="str">
        <f>IF(OR(studentdata[[#This Row],[Evening 2025]]&lt;&gt;""),"Yes","")</f>
        <v/>
      </c>
      <c r="Z173" s="80"/>
      <c r="AA173" s="80"/>
      <c r="AB173" s="80" t="str">
        <f>IF(OR(studentdata[[#This Row],[Weekend 2025 Enrolled]]="Yes",studentdata[[#This Row],[Evening 2025 Enrolled]]="Yes"),"Yes","")</f>
        <v/>
      </c>
    </row>
    <row r="174" spans="1:28" x14ac:dyDescent="0.25">
      <c r="C174" s="67" t="s">
        <v>394</v>
      </c>
      <c r="D174" s="67" t="s">
        <v>68</v>
      </c>
      <c r="E174" s="67" t="s">
        <v>69</v>
      </c>
      <c r="F174" s="67">
        <v>48071</v>
      </c>
      <c r="H174" s="67" t="s">
        <v>395</v>
      </c>
      <c r="I174" s="67"/>
      <c r="J174" s="67"/>
      <c r="M174" s="80">
        <v>174</v>
      </c>
      <c r="N174" s="67" t="s">
        <v>1046</v>
      </c>
      <c r="O174" s="80">
        <v>108</v>
      </c>
      <c r="P174" s="67" t="s">
        <v>397</v>
      </c>
      <c r="Q174" s="67">
        <v>13133661523</v>
      </c>
      <c r="R174" s="67" t="s">
        <v>294</v>
      </c>
      <c r="T174" s="80" t="s">
        <v>46</v>
      </c>
      <c r="U174" s="80"/>
      <c r="V174" s="177"/>
      <c r="W174" s="80" t="str">
        <f>IF(OR(studentdata[[#This Row],[Weekend 2025]]&lt;&gt;""),"Yes","")</f>
        <v/>
      </c>
      <c r="X174" s="80"/>
      <c r="Y174" s="80" t="str">
        <f>IF(OR(studentdata[[#This Row],[Evening 2025]]&lt;&gt;""),"Yes","")</f>
        <v/>
      </c>
      <c r="Z174" s="80"/>
      <c r="AA174" s="80"/>
      <c r="AB174" s="80" t="str">
        <f>IF(OR(studentdata[[#This Row],[Weekend 2025 Enrolled]]="Yes",studentdata[[#This Row],[Evening 2025 Enrolled]]="Yes"),"Yes","")</f>
        <v/>
      </c>
    </row>
    <row r="175" spans="1:28" x14ac:dyDescent="0.25">
      <c r="C175" s="67" t="s">
        <v>394</v>
      </c>
      <c r="D175" s="67" t="s">
        <v>68</v>
      </c>
      <c r="E175" s="67" t="s">
        <v>69</v>
      </c>
      <c r="F175" s="67">
        <v>48071</v>
      </c>
      <c r="H175" s="67" t="s">
        <v>395</v>
      </c>
      <c r="I175" s="67"/>
      <c r="J175" s="67"/>
      <c r="M175" s="80">
        <v>175</v>
      </c>
      <c r="N175" s="67" t="s">
        <v>396</v>
      </c>
      <c r="O175" s="80">
        <v>108</v>
      </c>
      <c r="P175" s="67" t="s">
        <v>397</v>
      </c>
      <c r="Q175" s="67">
        <v>13133661523</v>
      </c>
      <c r="R175" s="67" t="s">
        <v>294</v>
      </c>
      <c r="T175" s="80" t="s">
        <v>56</v>
      </c>
      <c r="U175" s="80"/>
      <c r="V175" s="177" t="s">
        <v>48</v>
      </c>
      <c r="W175" s="80" t="str">
        <f>IF(OR(studentdata[[#This Row],[Weekend 2025]]&lt;&gt;""),"Yes","")</f>
        <v>Yes</v>
      </c>
      <c r="X175" s="80">
        <v>11</v>
      </c>
      <c r="Y175" s="80" t="str">
        <f>IF(OR(studentdata[[#This Row],[Evening 2025]]&lt;&gt;""),"Yes","")</f>
        <v/>
      </c>
      <c r="Z175" s="80"/>
      <c r="AA175" s="80"/>
      <c r="AB175" s="80" t="str">
        <f>IF(OR(studentdata[[#This Row],[Weekend 2025 Enrolled]]="Yes",studentdata[[#This Row],[Evening 2025 Enrolled]]="Yes"),"Yes","")</f>
        <v>Yes</v>
      </c>
    </row>
    <row r="176" spans="1:28" x14ac:dyDescent="0.25">
      <c r="A176" s="80">
        <v>6</v>
      </c>
      <c r="C176" s="67" t="s">
        <v>486</v>
      </c>
      <c r="D176" s="67" t="s">
        <v>68</v>
      </c>
      <c r="E176" s="67" t="s">
        <v>69</v>
      </c>
      <c r="F176" s="67">
        <v>48092</v>
      </c>
      <c r="I176" s="67"/>
      <c r="J176" s="67"/>
      <c r="M176" s="80">
        <v>176</v>
      </c>
      <c r="N176" s="67" t="s">
        <v>487</v>
      </c>
      <c r="O176" s="80">
        <v>109</v>
      </c>
      <c r="P176" s="67" t="s">
        <v>488</v>
      </c>
      <c r="Q176" s="67">
        <v>13474930271</v>
      </c>
      <c r="R176" s="67" t="s">
        <v>489</v>
      </c>
      <c r="S176" s="67">
        <v>13475384230</v>
      </c>
      <c r="T176" s="80" t="s">
        <v>56</v>
      </c>
      <c r="U176" s="80"/>
      <c r="V176" s="177" t="s">
        <v>142</v>
      </c>
      <c r="W176" s="80" t="str">
        <f>IF(OR(studentdata[[#This Row],[Weekend 2025]]&lt;&gt;""),"Yes","")</f>
        <v>Yes</v>
      </c>
      <c r="X176" s="80">
        <v>11</v>
      </c>
      <c r="Y176" s="80" t="str">
        <f>IF(OR(studentdata[[#This Row],[Evening 2025]]&lt;&gt;""),"Yes","")</f>
        <v/>
      </c>
      <c r="Z176" s="80"/>
      <c r="AA176" s="80"/>
      <c r="AB176" s="80" t="str">
        <f>IF(OR(studentdata[[#This Row],[Weekend 2025 Enrolled]]="Yes",studentdata[[#This Row],[Evening 2025 Enrolled]]="Yes"),"Yes","")</f>
        <v>Yes</v>
      </c>
    </row>
    <row r="177" spans="1:28" x14ac:dyDescent="0.25">
      <c r="A177" s="80">
        <v>5</v>
      </c>
      <c r="B177" s="67" t="s">
        <v>45</v>
      </c>
      <c r="C177" s="67" t="s">
        <v>486</v>
      </c>
      <c r="D177" s="67" t="s">
        <v>68</v>
      </c>
      <c r="E177" s="67" t="s">
        <v>69</v>
      </c>
      <c r="F177" s="67">
        <v>48092</v>
      </c>
      <c r="I177" s="67"/>
      <c r="J177" s="67"/>
      <c r="M177" s="80">
        <v>177</v>
      </c>
      <c r="N177" s="67" t="s">
        <v>641</v>
      </c>
      <c r="O177" s="80">
        <v>109</v>
      </c>
      <c r="P177" s="67" t="s">
        <v>488</v>
      </c>
      <c r="Q177" s="67">
        <v>13474930271</v>
      </c>
      <c r="R177" s="67" t="s">
        <v>489</v>
      </c>
      <c r="S177" s="67">
        <v>13475384230</v>
      </c>
      <c r="T177" s="80" t="s">
        <v>46</v>
      </c>
      <c r="U177" s="80"/>
      <c r="V177" s="177" t="s">
        <v>137</v>
      </c>
      <c r="W177" s="80" t="str">
        <f>IF(OR(studentdata[[#This Row],[Weekend 2025]]&lt;&gt;""),"Yes","")</f>
        <v>Yes</v>
      </c>
      <c r="X177" s="80">
        <v>2</v>
      </c>
      <c r="Y177" s="80" t="str">
        <f>IF(OR(studentdata[[#This Row],[Evening 2025]]&lt;&gt;""),"Yes","")</f>
        <v/>
      </c>
      <c r="Z177" s="80"/>
      <c r="AA177" s="80"/>
      <c r="AB177" s="80" t="str">
        <f>IF(OR(studentdata[[#This Row],[Weekend 2025 Enrolled]]="Yes",studentdata[[#This Row],[Evening 2025 Enrolled]]="Yes"),"Yes","")</f>
        <v>Yes</v>
      </c>
    </row>
    <row r="178" spans="1:28" x14ac:dyDescent="0.25">
      <c r="A178" s="80">
        <v>7</v>
      </c>
      <c r="B178" s="67" t="s">
        <v>45</v>
      </c>
      <c r="C178" s="67" t="s">
        <v>652</v>
      </c>
      <c r="D178" s="67" t="s">
        <v>68</v>
      </c>
      <c r="E178" s="67" t="s">
        <v>69</v>
      </c>
      <c r="F178" s="67">
        <v>48092</v>
      </c>
      <c r="I178" s="67"/>
      <c r="J178" s="67"/>
      <c r="M178" s="80">
        <v>178</v>
      </c>
      <c r="N178" s="67" t="s">
        <v>653</v>
      </c>
      <c r="O178" s="80">
        <v>110</v>
      </c>
      <c r="P178" s="67" t="s">
        <v>654</v>
      </c>
      <c r="Q178" s="67">
        <v>15864986375</v>
      </c>
      <c r="R178" s="67" t="s">
        <v>655</v>
      </c>
      <c r="T178" s="80" t="s">
        <v>46</v>
      </c>
      <c r="U178" s="80" t="s">
        <v>80</v>
      </c>
      <c r="V178" s="177" t="s">
        <v>137</v>
      </c>
      <c r="W178" s="80" t="str">
        <f>IF(OR(studentdata[[#This Row],[Weekend 2025]]&lt;&gt;""),"Yes","")</f>
        <v>Yes</v>
      </c>
      <c r="X178" s="80">
        <v>11</v>
      </c>
      <c r="Y178" s="80" t="str">
        <f>IF(OR(studentdata[[#This Row],[Evening 2025]]&lt;&gt;""),"Yes","")</f>
        <v/>
      </c>
      <c r="Z178" s="80"/>
      <c r="AA178" s="80"/>
      <c r="AB178" s="80" t="str">
        <f>IF(OR(studentdata[[#This Row],[Weekend 2025 Enrolled]]="Yes",studentdata[[#This Row],[Evening 2025 Enrolled]]="Yes"),"Yes","")</f>
        <v>Yes</v>
      </c>
    </row>
    <row r="179" spans="1:28" x14ac:dyDescent="0.25">
      <c r="A179" s="80">
        <v>6</v>
      </c>
      <c r="B179" s="67">
        <v>1</v>
      </c>
      <c r="C179" s="67" t="s">
        <v>117</v>
      </c>
      <c r="D179" s="67" t="s">
        <v>68</v>
      </c>
      <c r="E179" s="67" t="s">
        <v>69</v>
      </c>
      <c r="F179" s="67">
        <v>48091</v>
      </c>
      <c r="I179" s="67"/>
      <c r="J179" s="67"/>
      <c r="M179" s="80">
        <v>179</v>
      </c>
      <c r="N179" s="67" t="s">
        <v>114</v>
      </c>
      <c r="O179" s="80">
        <v>111</v>
      </c>
      <c r="P179" s="67" t="s">
        <v>115</v>
      </c>
      <c r="Q179" s="67">
        <v>15715240210</v>
      </c>
      <c r="R179" s="67" t="s">
        <v>116</v>
      </c>
      <c r="S179" s="67">
        <v>15867465650</v>
      </c>
      <c r="T179" s="80" t="s">
        <v>46</v>
      </c>
      <c r="U179" s="80" t="s">
        <v>57</v>
      </c>
      <c r="V179" s="177"/>
      <c r="W179" s="80" t="str">
        <f>IF(OR(studentdata[[#This Row],[Weekend 2025]]&lt;&gt;""),"Yes","")</f>
        <v/>
      </c>
      <c r="X179" s="80"/>
      <c r="Y179" s="80" t="str">
        <f>IF(OR(studentdata[[#This Row],[Evening 2025]]&lt;&gt;""),"Yes","")</f>
        <v>Yes</v>
      </c>
      <c r="Z179" s="80">
        <v>2</v>
      </c>
      <c r="AA179" s="80"/>
      <c r="AB179" s="80" t="str">
        <f>IF(OR(studentdata[[#This Row],[Weekend 2025 Enrolled]]="Yes",studentdata[[#This Row],[Evening 2025 Enrolled]]="Yes"),"Yes","")</f>
        <v>Yes</v>
      </c>
    </row>
    <row r="180" spans="1:28" x14ac:dyDescent="0.25">
      <c r="C180" s="67" t="s">
        <v>827</v>
      </c>
      <c r="D180" s="67" t="s">
        <v>580</v>
      </c>
      <c r="E180" s="67" t="s">
        <v>69</v>
      </c>
      <c r="F180" s="67">
        <v>48085</v>
      </c>
      <c r="I180" s="67"/>
      <c r="J180" s="67"/>
      <c r="M180" s="80">
        <v>180</v>
      </c>
      <c r="N180" s="67" t="s">
        <v>828</v>
      </c>
      <c r="O180" s="80">
        <v>112</v>
      </c>
      <c r="P180" s="67" t="s">
        <v>829</v>
      </c>
      <c r="Q180" s="67">
        <v>13134454178</v>
      </c>
      <c r="R180" s="67" t="s">
        <v>830</v>
      </c>
      <c r="T180" s="80" t="s">
        <v>56</v>
      </c>
      <c r="U180" s="80" t="s">
        <v>156</v>
      </c>
      <c r="V180" s="177"/>
      <c r="W180" s="80" t="str">
        <f>IF(OR(studentdata[[#This Row],[Weekend 2025]]&lt;&gt;""),"Yes","")</f>
        <v/>
      </c>
      <c r="X180" s="80"/>
      <c r="Y180" s="80" t="str">
        <f>IF(OR(studentdata[[#This Row],[Evening 2025]]&lt;&gt;""),"Yes","")</f>
        <v/>
      </c>
      <c r="Z180" s="80"/>
      <c r="AA180" s="80"/>
      <c r="AB180" s="80" t="str">
        <f>IF(OR(studentdata[[#This Row],[Weekend 2025 Enrolled]]="Yes",studentdata[[#This Row],[Evening 2025 Enrolled]]="Yes"),"Yes","")</f>
        <v/>
      </c>
    </row>
    <row r="181" spans="1:28" x14ac:dyDescent="0.25">
      <c r="A181" s="80">
        <v>9</v>
      </c>
      <c r="C181" s="67" t="s">
        <v>1047</v>
      </c>
      <c r="D181" s="67" t="s">
        <v>68</v>
      </c>
      <c r="E181" s="67" t="s">
        <v>69</v>
      </c>
      <c r="F181" s="67">
        <v>48091</v>
      </c>
      <c r="I181" s="67"/>
      <c r="J181" s="67"/>
      <c r="M181" s="80">
        <v>181</v>
      </c>
      <c r="N181" s="67" t="s">
        <v>1048</v>
      </c>
      <c r="O181" s="80">
        <v>113</v>
      </c>
      <c r="P181" s="67" t="s">
        <v>1049</v>
      </c>
      <c r="Q181" s="67">
        <v>15867654985</v>
      </c>
      <c r="R181" s="67" t="s">
        <v>1050</v>
      </c>
      <c r="S181" s="67">
        <v>13132581688</v>
      </c>
      <c r="T181" s="80" t="s">
        <v>46</v>
      </c>
      <c r="U181" s="80" t="s">
        <v>80</v>
      </c>
      <c r="V181" s="177"/>
      <c r="W181" s="80" t="str">
        <f>IF(OR(studentdata[[#This Row],[Weekend 2025]]&lt;&gt;""),"Yes","")</f>
        <v/>
      </c>
      <c r="X181" s="80"/>
      <c r="Y181" s="80" t="str">
        <f>IF(OR(studentdata[[#This Row],[Evening 2025]]&lt;&gt;""),"Yes","")</f>
        <v/>
      </c>
      <c r="Z181" s="80"/>
      <c r="AA181" s="80"/>
      <c r="AB181" s="80" t="str">
        <f>IF(OR(studentdata[[#This Row],[Weekend 2025 Enrolled]]="Yes",studentdata[[#This Row],[Evening 2025 Enrolled]]="Yes"),"Yes","")</f>
        <v/>
      </c>
    </row>
    <row r="182" spans="1:28" x14ac:dyDescent="0.25">
      <c r="A182" s="80">
        <v>8</v>
      </c>
      <c r="B182" s="67">
        <v>2</v>
      </c>
      <c r="C182" s="67" t="s">
        <v>1051</v>
      </c>
      <c r="D182" s="67" t="s">
        <v>68</v>
      </c>
      <c r="E182" s="67" t="s">
        <v>69</v>
      </c>
      <c r="F182" s="67">
        <v>48092</v>
      </c>
      <c r="I182" s="67"/>
      <c r="J182" s="67"/>
      <c r="M182" s="80">
        <v>182</v>
      </c>
      <c r="N182" s="67" t="s">
        <v>1052</v>
      </c>
      <c r="O182" s="80">
        <v>114</v>
      </c>
      <c r="P182" s="67" t="s">
        <v>1053</v>
      </c>
      <c r="Q182" s="67">
        <v>13134550452</v>
      </c>
      <c r="R182" s="67" t="s">
        <v>1054</v>
      </c>
      <c r="S182" s="67">
        <v>13137079294</v>
      </c>
      <c r="T182" s="80" t="s">
        <v>46</v>
      </c>
      <c r="U182" s="80" t="s">
        <v>80</v>
      </c>
      <c r="V182" s="177" t="s">
        <v>137</v>
      </c>
      <c r="W182" s="80" t="str">
        <f>IF(OR(studentdata[[#This Row],[Weekend 2025]]&lt;&gt;""),"Yes","")</f>
        <v/>
      </c>
      <c r="X182" s="80"/>
      <c r="Y182" s="80" t="str">
        <f>IF(OR(studentdata[[#This Row],[Evening 2025]]&lt;&gt;""),"Yes","")</f>
        <v>Yes</v>
      </c>
      <c r="Z182" s="80">
        <v>50</v>
      </c>
      <c r="AA182" s="80"/>
      <c r="AB182" s="80" t="str">
        <f>IF(OR(studentdata[[#This Row],[Weekend 2025 Enrolled]]="Yes",studentdata[[#This Row],[Evening 2025 Enrolled]]="Yes"),"Yes","")</f>
        <v>Yes</v>
      </c>
    </row>
    <row r="183" spans="1:28" x14ac:dyDescent="0.25">
      <c r="A183" s="80">
        <v>9</v>
      </c>
      <c r="B183" s="67" t="s">
        <v>45</v>
      </c>
      <c r="C183" s="67" t="s">
        <v>1055</v>
      </c>
      <c r="D183" s="67" t="s">
        <v>68</v>
      </c>
      <c r="E183" s="67" t="s">
        <v>69</v>
      </c>
      <c r="F183" s="67">
        <v>48091</v>
      </c>
      <c r="G183" s="67" t="s">
        <v>1056</v>
      </c>
      <c r="I183" s="67"/>
      <c r="J183" s="67"/>
      <c r="M183" s="80">
        <v>183</v>
      </c>
      <c r="N183" s="67" t="s">
        <v>1057</v>
      </c>
      <c r="O183" s="80">
        <v>115</v>
      </c>
      <c r="P183" s="67" t="s">
        <v>1058</v>
      </c>
      <c r="Q183" s="67">
        <v>13134558580</v>
      </c>
      <c r="R183" s="67" t="s">
        <v>1059</v>
      </c>
      <c r="T183" s="80" t="s">
        <v>46</v>
      </c>
      <c r="U183" s="80" t="s">
        <v>80</v>
      </c>
      <c r="V183" s="177"/>
      <c r="W183" s="80" t="str">
        <f>IF(OR(studentdata[[#This Row],[Weekend 2025]]&lt;&gt;""),"Yes","")</f>
        <v/>
      </c>
      <c r="X183" s="80"/>
      <c r="Y183" s="80" t="str">
        <f>IF(OR(studentdata[[#This Row],[Evening 2025]]&lt;&gt;""),"Yes","")</f>
        <v/>
      </c>
      <c r="Z183" s="80"/>
      <c r="AA183" s="80"/>
      <c r="AB183" s="80" t="str">
        <f>IF(OR(studentdata[[#This Row],[Weekend 2025 Enrolled]]="Yes",studentdata[[#This Row],[Evening 2025 Enrolled]]="Yes"),"Yes","")</f>
        <v/>
      </c>
    </row>
    <row r="184" spans="1:28" x14ac:dyDescent="0.25">
      <c r="A184" s="80">
        <v>15</v>
      </c>
      <c r="C184" s="67" t="s">
        <v>831</v>
      </c>
      <c r="D184" s="67" t="s">
        <v>68</v>
      </c>
      <c r="E184" s="67" t="s">
        <v>69</v>
      </c>
      <c r="F184" s="67">
        <v>48091</v>
      </c>
      <c r="I184" s="67"/>
      <c r="J184" s="67"/>
      <c r="M184" s="80">
        <v>184</v>
      </c>
      <c r="N184" s="67" t="s">
        <v>1060</v>
      </c>
      <c r="O184" s="80">
        <v>116</v>
      </c>
      <c r="P184" s="67" t="s">
        <v>833</v>
      </c>
      <c r="Q184" s="67">
        <v>18103990007</v>
      </c>
      <c r="R184" s="67" t="s">
        <v>834</v>
      </c>
      <c r="S184" s="67">
        <v>13134457364</v>
      </c>
      <c r="T184" s="80" t="s">
        <v>46</v>
      </c>
      <c r="U184" s="80" t="s">
        <v>195</v>
      </c>
      <c r="V184" s="177"/>
      <c r="W184" s="80" t="str">
        <f>IF(OR(studentdata[[#This Row],[Weekend 2025]]&lt;&gt;""),"Yes","")</f>
        <v/>
      </c>
      <c r="X184" s="80"/>
      <c r="Y184" s="80" t="str">
        <f>IF(OR(studentdata[[#This Row],[Evening 2025]]&lt;&gt;""),"Yes","")</f>
        <v/>
      </c>
      <c r="Z184" s="80"/>
      <c r="AA184" s="80"/>
      <c r="AB184" s="80" t="str">
        <f>IF(OR(studentdata[[#This Row],[Weekend 2025 Enrolled]]="Yes",studentdata[[#This Row],[Evening 2025 Enrolled]]="Yes"),"Yes","")</f>
        <v/>
      </c>
    </row>
    <row r="185" spans="1:28" x14ac:dyDescent="0.25">
      <c r="A185" s="80">
        <v>7</v>
      </c>
      <c r="C185" s="67" t="s">
        <v>831</v>
      </c>
      <c r="D185" s="67" t="s">
        <v>68</v>
      </c>
      <c r="E185" s="67" t="s">
        <v>69</v>
      </c>
      <c r="F185" s="67">
        <v>48091</v>
      </c>
      <c r="I185" s="67"/>
      <c r="J185" s="67"/>
      <c r="M185" s="80">
        <v>185</v>
      </c>
      <c r="N185" s="67" t="s">
        <v>1061</v>
      </c>
      <c r="O185" s="80">
        <v>116</v>
      </c>
      <c r="P185" s="67" t="s">
        <v>833</v>
      </c>
      <c r="Q185" s="67">
        <v>18103990007</v>
      </c>
      <c r="R185" s="67" t="s">
        <v>834</v>
      </c>
      <c r="S185" s="67">
        <v>13134457364</v>
      </c>
      <c r="T185" s="80" t="s">
        <v>46</v>
      </c>
      <c r="U185" s="80" t="s">
        <v>95</v>
      </c>
      <c r="V185" s="177"/>
      <c r="W185" s="80" t="str">
        <f>IF(OR(studentdata[[#This Row],[Weekend 2025]]&lt;&gt;""),"Yes","")</f>
        <v/>
      </c>
      <c r="X185" s="80"/>
      <c r="Y185" s="80" t="str">
        <f>IF(OR(studentdata[[#This Row],[Evening 2025]]&lt;&gt;""),"Yes","")</f>
        <v/>
      </c>
      <c r="Z185" s="80"/>
      <c r="AA185" s="80"/>
      <c r="AB185" s="80" t="str">
        <f>IF(OR(studentdata[[#This Row],[Weekend 2025 Enrolled]]="Yes",studentdata[[#This Row],[Evening 2025 Enrolled]]="Yes"),"Yes","")</f>
        <v/>
      </c>
    </row>
    <row r="186" spans="1:28" x14ac:dyDescent="0.25">
      <c r="A186" s="80">
        <v>16</v>
      </c>
      <c r="C186" s="67" t="s">
        <v>831</v>
      </c>
      <c r="D186" s="67" t="s">
        <v>68</v>
      </c>
      <c r="E186" s="67" t="s">
        <v>69</v>
      </c>
      <c r="F186" s="67">
        <v>48091</v>
      </c>
      <c r="I186" s="67"/>
      <c r="J186" s="67"/>
      <c r="M186" s="80">
        <v>186</v>
      </c>
      <c r="N186" s="67" t="s">
        <v>832</v>
      </c>
      <c r="O186" s="80">
        <v>116</v>
      </c>
      <c r="P186" s="67" t="s">
        <v>833</v>
      </c>
      <c r="Q186" s="67">
        <v>18103990007</v>
      </c>
      <c r="R186" s="67" t="s">
        <v>834</v>
      </c>
      <c r="S186" s="67">
        <v>13134457364</v>
      </c>
      <c r="T186" s="80" t="s">
        <v>56</v>
      </c>
      <c r="U186" s="80" t="s">
        <v>195</v>
      </c>
      <c r="V186" s="177"/>
      <c r="W186" s="80" t="str">
        <f>IF(OR(studentdata[[#This Row],[Weekend 2025]]&lt;&gt;""),"Yes","")</f>
        <v/>
      </c>
      <c r="X186" s="80"/>
      <c r="Y186" s="80" t="str">
        <f>IF(OR(studentdata[[#This Row],[Evening 2025]]&lt;&gt;""),"Yes","")</f>
        <v/>
      </c>
      <c r="Z186" s="80"/>
      <c r="AA186" s="80"/>
      <c r="AB186" s="80" t="str">
        <f>IF(OR(studentdata[[#This Row],[Weekend 2025 Enrolled]]="Yes",studentdata[[#This Row],[Evening 2025 Enrolled]]="Yes"),"Yes","")</f>
        <v/>
      </c>
    </row>
    <row r="187" spans="1:28" x14ac:dyDescent="0.25">
      <c r="A187" s="80">
        <v>13</v>
      </c>
      <c r="C187" s="67" t="s">
        <v>831</v>
      </c>
      <c r="D187" s="67" t="s">
        <v>68</v>
      </c>
      <c r="E187" s="67" t="s">
        <v>69</v>
      </c>
      <c r="F187" s="67">
        <v>48091</v>
      </c>
      <c r="I187" s="67"/>
      <c r="J187" s="67"/>
      <c r="M187" s="80">
        <v>187</v>
      </c>
      <c r="N187" s="67" t="s">
        <v>835</v>
      </c>
      <c r="O187" s="80">
        <v>116</v>
      </c>
      <c r="P187" s="67" t="s">
        <v>833</v>
      </c>
      <c r="Q187" s="67">
        <v>18103990007</v>
      </c>
      <c r="R187" s="67" t="s">
        <v>834</v>
      </c>
      <c r="S187" s="67">
        <v>13134457364</v>
      </c>
      <c r="T187" s="80" t="s">
        <v>56</v>
      </c>
      <c r="U187" s="80" t="s">
        <v>199</v>
      </c>
      <c r="V187" s="177"/>
      <c r="W187" s="80" t="str">
        <f>IF(OR(studentdata[[#This Row],[Weekend 2025]]&lt;&gt;""),"Yes","")</f>
        <v/>
      </c>
      <c r="X187" s="80"/>
      <c r="Y187" s="80" t="str">
        <f>IF(OR(studentdata[[#This Row],[Evening 2025]]&lt;&gt;""),"Yes","")</f>
        <v/>
      </c>
      <c r="Z187" s="80"/>
      <c r="AA187" s="80"/>
      <c r="AB187" s="80" t="str">
        <f>IF(OR(studentdata[[#This Row],[Weekend 2025 Enrolled]]="Yes",studentdata[[#This Row],[Evening 2025 Enrolled]]="Yes"),"Yes","")</f>
        <v/>
      </c>
    </row>
    <row r="188" spans="1:28" x14ac:dyDescent="0.25">
      <c r="A188" s="80">
        <v>13</v>
      </c>
      <c r="B188" s="67" t="s">
        <v>162</v>
      </c>
      <c r="C188" s="67" t="s">
        <v>546</v>
      </c>
      <c r="D188" s="67" t="s">
        <v>68</v>
      </c>
      <c r="E188" s="67" t="s">
        <v>69</v>
      </c>
      <c r="F188" s="67">
        <v>48091</v>
      </c>
      <c r="I188" s="67"/>
      <c r="J188" s="67"/>
      <c r="M188" s="80">
        <v>188</v>
      </c>
      <c r="N188" s="67" t="s">
        <v>547</v>
      </c>
      <c r="O188" s="80">
        <v>117</v>
      </c>
      <c r="P188" s="67" t="s">
        <v>548</v>
      </c>
      <c r="Q188" s="67">
        <v>13133277472</v>
      </c>
      <c r="R188" s="67" t="s">
        <v>549</v>
      </c>
      <c r="T188" s="80" t="s">
        <v>46</v>
      </c>
      <c r="U188" s="80" t="s">
        <v>109</v>
      </c>
      <c r="V188" s="177">
        <v>3</v>
      </c>
      <c r="W188" s="80" t="str">
        <f>IF(OR(studentdata[[#This Row],[Weekend 2025]]&lt;&gt;""),"Yes","")</f>
        <v>Yes</v>
      </c>
      <c r="X188" s="80">
        <v>1</v>
      </c>
      <c r="Y188" s="80" t="str">
        <f>IF(OR(studentdata[[#This Row],[Evening 2025]]&lt;&gt;""),"Yes","")</f>
        <v/>
      </c>
      <c r="Z188" s="80"/>
      <c r="AA188" s="80"/>
      <c r="AB188" s="80" t="str">
        <f>IF(OR(studentdata[[#This Row],[Weekend 2025 Enrolled]]="Yes",studentdata[[#This Row],[Evening 2025 Enrolled]]="Yes"),"Yes","")</f>
        <v>Yes</v>
      </c>
    </row>
    <row r="189" spans="1:28" x14ac:dyDescent="0.25">
      <c r="A189" s="80">
        <v>6</v>
      </c>
      <c r="C189" s="67" t="s">
        <v>446</v>
      </c>
      <c r="D189" s="67" t="s">
        <v>68</v>
      </c>
      <c r="E189" s="67" t="s">
        <v>69</v>
      </c>
      <c r="F189" s="67">
        <v>48092</v>
      </c>
      <c r="I189" s="67"/>
      <c r="J189" s="67"/>
      <c r="M189" s="80">
        <v>189</v>
      </c>
      <c r="N189" s="67" t="s">
        <v>447</v>
      </c>
      <c r="O189" s="80">
        <v>118</v>
      </c>
      <c r="P189" s="67" t="s">
        <v>448</v>
      </c>
      <c r="Q189" s="67">
        <v>13134781410</v>
      </c>
      <c r="R189" s="67" t="s">
        <v>449</v>
      </c>
      <c r="S189" s="67">
        <v>13136031877</v>
      </c>
      <c r="T189" s="80" t="s">
        <v>56</v>
      </c>
      <c r="U189" s="80" t="s">
        <v>57</v>
      </c>
      <c r="V189" s="177" t="s">
        <v>137</v>
      </c>
      <c r="W189" s="80" t="str">
        <f>IF(OR(studentdata[[#This Row],[Weekend 2025]]&lt;&gt;""),"Yes","")</f>
        <v>Yes</v>
      </c>
      <c r="X189" s="80">
        <v>7</v>
      </c>
      <c r="Y189" s="80" t="str">
        <f>IF(OR(studentdata[[#This Row],[Evening 2025]]&lt;&gt;""),"Yes","")</f>
        <v/>
      </c>
      <c r="Z189" s="80"/>
      <c r="AA189" s="80"/>
      <c r="AB189" s="80" t="str">
        <f>IF(OR(studentdata[[#This Row],[Weekend 2025 Enrolled]]="Yes",studentdata[[#This Row],[Evening 2025 Enrolled]]="Yes"),"Yes","")</f>
        <v>Yes</v>
      </c>
    </row>
    <row r="190" spans="1:28" x14ac:dyDescent="0.25">
      <c r="A190" s="80">
        <v>16</v>
      </c>
      <c r="C190" s="67" t="s">
        <v>270</v>
      </c>
      <c r="D190" s="67" t="s">
        <v>68</v>
      </c>
      <c r="E190" s="67" t="s">
        <v>69</v>
      </c>
      <c r="F190" s="67">
        <v>48091</v>
      </c>
      <c r="I190" s="67"/>
      <c r="J190" s="67"/>
      <c r="M190" s="80">
        <v>190</v>
      </c>
      <c r="N190" s="67" t="s">
        <v>599</v>
      </c>
      <c r="O190" s="80">
        <v>119</v>
      </c>
      <c r="P190" s="67" t="s">
        <v>272</v>
      </c>
      <c r="Q190" s="67">
        <v>15863546174</v>
      </c>
      <c r="R190" s="67" t="s">
        <v>273</v>
      </c>
      <c r="S190" s="67">
        <v>15865191905</v>
      </c>
      <c r="T190" s="80" t="s">
        <v>46</v>
      </c>
      <c r="U190" s="80" t="s">
        <v>195</v>
      </c>
      <c r="V190" s="177">
        <v>4</v>
      </c>
      <c r="W190" s="80" t="str">
        <f>IF(OR(studentdata[[#This Row],[Weekend 2025]]&lt;&gt;""),"Yes","")</f>
        <v>Yes</v>
      </c>
      <c r="X190" s="80">
        <v>7</v>
      </c>
      <c r="Y190" s="80" t="str">
        <f>IF(OR(studentdata[[#This Row],[Evening 2025]]&lt;&gt;""),"Yes","")</f>
        <v/>
      </c>
      <c r="Z190" s="80"/>
      <c r="AA190" s="80"/>
      <c r="AB190" s="80" t="str">
        <f>IF(OR(studentdata[[#This Row],[Weekend 2025 Enrolled]]="Yes",studentdata[[#This Row],[Evening 2025 Enrolled]]="Yes"),"Yes","")</f>
        <v>Yes</v>
      </c>
    </row>
    <row r="191" spans="1:28" x14ac:dyDescent="0.25">
      <c r="A191" s="80">
        <v>15</v>
      </c>
      <c r="C191" s="67" t="s">
        <v>270</v>
      </c>
      <c r="D191" s="67" t="s">
        <v>68</v>
      </c>
      <c r="E191" s="67" t="s">
        <v>69</v>
      </c>
      <c r="F191" s="67">
        <v>48091</v>
      </c>
      <c r="I191" s="67"/>
      <c r="J191" s="67"/>
      <c r="M191" s="80">
        <v>191</v>
      </c>
      <c r="N191" s="67" t="s">
        <v>600</v>
      </c>
      <c r="O191" s="80">
        <v>119</v>
      </c>
      <c r="P191" s="67" t="s">
        <v>272</v>
      </c>
      <c r="Q191" s="67">
        <v>15863546174</v>
      </c>
      <c r="R191" s="67" t="s">
        <v>273</v>
      </c>
      <c r="S191" s="67">
        <v>15865191905</v>
      </c>
      <c r="T191" s="80" t="s">
        <v>46</v>
      </c>
      <c r="U191" s="80" t="s">
        <v>199</v>
      </c>
      <c r="V191" s="177">
        <v>4</v>
      </c>
      <c r="W191" s="80" t="str">
        <f>IF(OR(studentdata[[#This Row],[Weekend 2025]]&lt;&gt;""),"Yes","")</f>
        <v>Yes</v>
      </c>
      <c r="X191" s="80">
        <v>8</v>
      </c>
      <c r="Y191" s="80" t="str">
        <f>IF(OR(studentdata[[#This Row],[Evening 2025]]&lt;&gt;""),"Yes","")</f>
        <v/>
      </c>
      <c r="Z191" s="80"/>
      <c r="AA191" s="80"/>
      <c r="AB191" s="80" t="str">
        <f>IF(OR(studentdata[[#This Row],[Weekend 2025 Enrolled]]="Yes",studentdata[[#This Row],[Evening 2025 Enrolled]]="Yes"),"Yes","")</f>
        <v>Yes</v>
      </c>
    </row>
    <row r="192" spans="1:28" x14ac:dyDescent="0.25">
      <c r="A192" s="80">
        <v>14</v>
      </c>
      <c r="C192" s="67" t="s">
        <v>270</v>
      </c>
      <c r="D192" s="67" t="s">
        <v>68</v>
      </c>
      <c r="E192" s="67" t="s">
        <v>69</v>
      </c>
      <c r="F192" s="67">
        <v>48091</v>
      </c>
      <c r="I192" s="67"/>
      <c r="J192" s="67"/>
      <c r="M192" s="80">
        <v>192</v>
      </c>
      <c r="N192" s="67" t="s">
        <v>271</v>
      </c>
      <c r="O192" s="80">
        <v>119</v>
      </c>
      <c r="P192" s="67" t="s">
        <v>272</v>
      </c>
      <c r="Q192" s="67">
        <v>15863546174</v>
      </c>
      <c r="R192" s="67" t="s">
        <v>273</v>
      </c>
      <c r="S192" s="67">
        <v>15865191905</v>
      </c>
      <c r="T192" s="80" t="s">
        <v>56</v>
      </c>
      <c r="U192" s="80" t="s">
        <v>109</v>
      </c>
      <c r="V192" s="177">
        <v>3</v>
      </c>
      <c r="W192" s="80" t="str">
        <f>IF(OR(studentdata[[#This Row],[Weekend 2025]]&lt;&gt;""),"Yes","")</f>
        <v>Yes</v>
      </c>
      <c r="X192" s="80">
        <v>3</v>
      </c>
      <c r="Y192" s="80" t="str">
        <f>IF(OR(studentdata[[#This Row],[Evening 2025]]&lt;&gt;""),"Yes","")</f>
        <v/>
      </c>
      <c r="Z192" s="80"/>
      <c r="AA192" s="80"/>
      <c r="AB192" s="80" t="str">
        <f>IF(OR(studentdata[[#This Row],[Weekend 2025 Enrolled]]="Yes",studentdata[[#This Row],[Evening 2025 Enrolled]]="Yes"),"Yes","")</f>
        <v>Yes</v>
      </c>
    </row>
    <row r="193" spans="1:28" x14ac:dyDescent="0.25">
      <c r="A193" s="80">
        <v>10</v>
      </c>
      <c r="B193" s="67">
        <v>2</v>
      </c>
      <c r="C193" s="67" t="s">
        <v>126</v>
      </c>
      <c r="D193" s="67" t="s">
        <v>68</v>
      </c>
      <c r="E193" s="67" t="s">
        <v>69</v>
      </c>
      <c r="F193" s="67">
        <v>48091</v>
      </c>
      <c r="I193" s="67"/>
      <c r="J193" s="67"/>
      <c r="M193" s="80">
        <v>193</v>
      </c>
      <c r="N193" s="67" t="s">
        <v>158</v>
      </c>
      <c r="O193" s="80">
        <v>120</v>
      </c>
      <c r="P193" s="67" t="s">
        <v>124</v>
      </c>
      <c r="Q193" s="67">
        <v>19292718114</v>
      </c>
      <c r="R193" s="67" t="s">
        <v>125</v>
      </c>
      <c r="S193" s="67">
        <v>15864578683</v>
      </c>
      <c r="T193" s="80" t="s">
        <v>46</v>
      </c>
      <c r="U193" s="80" t="s">
        <v>156</v>
      </c>
      <c r="V193" s="177">
        <v>4</v>
      </c>
      <c r="W193" s="80" t="str">
        <f>IF(OR(studentdata[[#This Row],[Weekend 2025]]&lt;&gt;""),"Yes","")</f>
        <v>Yes</v>
      </c>
      <c r="X193" s="80">
        <v>9</v>
      </c>
      <c r="Y193" s="80" t="str">
        <f>IF(OR(studentdata[[#This Row],[Evening 2025]]&lt;&gt;""),"Yes","")</f>
        <v>Yes</v>
      </c>
      <c r="Z193" s="80">
        <v>12</v>
      </c>
      <c r="AA193" s="80"/>
      <c r="AB193" s="80" t="str">
        <f>IF(OR(studentdata[[#This Row],[Weekend 2025 Enrolled]]="Yes",studentdata[[#This Row],[Evening 2025 Enrolled]]="Yes"),"Yes","")</f>
        <v>Yes</v>
      </c>
    </row>
    <row r="194" spans="1:28" x14ac:dyDescent="0.25">
      <c r="A194" s="80">
        <v>8</v>
      </c>
      <c r="B194" s="67">
        <v>3</v>
      </c>
      <c r="C194" s="67" t="s">
        <v>126</v>
      </c>
      <c r="D194" s="67" t="s">
        <v>68</v>
      </c>
      <c r="E194" s="67" t="s">
        <v>69</v>
      </c>
      <c r="F194" s="67">
        <v>48091</v>
      </c>
      <c r="I194" s="67"/>
      <c r="J194" s="67"/>
      <c r="M194" s="80">
        <v>194</v>
      </c>
      <c r="N194" s="67" t="s">
        <v>123</v>
      </c>
      <c r="O194" s="80">
        <v>120</v>
      </c>
      <c r="P194" s="67" t="s">
        <v>124</v>
      </c>
      <c r="Q194" s="67">
        <v>19292718114</v>
      </c>
      <c r="R194" s="67" t="s">
        <v>125</v>
      </c>
      <c r="S194" s="67">
        <v>15864578683</v>
      </c>
      <c r="T194" s="80" t="s">
        <v>56</v>
      </c>
      <c r="U194" s="80" t="s">
        <v>52</v>
      </c>
      <c r="V194" s="177">
        <v>3</v>
      </c>
      <c r="W194" s="80" t="str">
        <f>IF(OR(studentdata[[#This Row],[Weekend 2025]]&lt;&gt;""),"Yes","")</f>
        <v>Yes</v>
      </c>
      <c r="X194" s="80">
        <v>9</v>
      </c>
      <c r="Y194" s="80" t="str">
        <f>IF(OR(studentdata[[#This Row],[Evening 2025]]&lt;&gt;""),"Yes","")</f>
        <v>Yes</v>
      </c>
      <c r="Z194" s="80">
        <v>14</v>
      </c>
      <c r="AA194" s="80"/>
      <c r="AB194" s="80" t="str">
        <f>IF(OR(studentdata[[#This Row],[Weekend 2025 Enrolled]]="Yes",studentdata[[#This Row],[Evening 2025 Enrolled]]="Yes"),"Yes","")</f>
        <v>Yes</v>
      </c>
    </row>
    <row r="195" spans="1:28" x14ac:dyDescent="0.25">
      <c r="A195" s="80">
        <v>10</v>
      </c>
      <c r="C195" s="67" t="s">
        <v>1062</v>
      </c>
      <c r="D195" s="67" t="s">
        <v>68</v>
      </c>
      <c r="E195" s="67" t="s">
        <v>69</v>
      </c>
      <c r="F195" s="67">
        <v>48042</v>
      </c>
      <c r="I195" s="67"/>
      <c r="J195" s="67"/>
      <c r="M195" s="80">
        <v>195</v>
      </c>
      <c r="N195" s="67" t="s">
        <v>1063</v>
      </c>
      <c r="O195" s="80">
        <v>121</v>
      </c>
      <c r="P195" s="67" t="s">
        <v>1064</v>
      </c>
      <c r="Q195" s="67">
        <v>12488548225</v>
      </c>
      <c r="R195" s="67" t="s">
        <v>1065</v>
      </c>
      <c r="S195" s="67">
        <v>12482501148</v>
      </c>
      <c r="T195" s="80" t="s">
        <v>46</v>
      </c>
      <c r="U195" s="80"/>
      <c r="V195" s="177"/>
      <c r="W195" s="80" t="str">
        <f>IF(OR(studentdata[[#This Row],[Weekend 2025]]&lt;&gt;""),"Yes","")</f>
        <v/>
      </c>
      <c r="X195" s="80"/>
      <c r="Y195" s="80" t="str">
        <f>IF(OR(studentdata[[#This Row],[Evening 2025]]&lt;&gt;""),"Yes","")</f>
        <v/>
      </c>
      <c r="Z195" s="80"/>
      <c r="AA195" s="80"/>
      <c r="AB195" s="80" t="str">
        <f>IF(OR(studentdata[[#This Row],[Weekend 2025 Enrolled]]="Yes",studentdata[[#This Row],[Evening 2025 Enrolled]]="Yes"),"Yes","")</f>
        <v/>
      </c>
    </row>
    <row r="196" spans="1:28" x14ac:dyDescent="0.25">
      <c r="A196" s="80">
        <v>10</v>
      </c>
      <c r="C196" s="67" t="s">
        <v>1066</v>
      </c>
      <c r="D196" s="67" t="s">
        <v>68</v>
      </c>
      <c r="E196" s="67" t="s">
        <v>69</v>
      </c>
      <c r="F196" s="67">
        <v>48091</v>
      </c>
      <c r="I196" s="67"/>
      <c r="J196" s="67"/>
      <c r="M196" s="80">
        <v>196</v>
      </c>
      <c r="N196" s="67" t="s">
        <v>1067</v>
      </c>
      <c r="O196" s="80">
        <v>122</v>
      </c>
      <c r="P196" s="67" t="s">
        <v>1068</v>
      </c>
      <c r="Q196" s="67">
        <v>19734139701</v>
      </c>
      <c r="R196" s="67" t="s">
        <v>1069</v>
      </c>
      <c r="S196" s="67">
        <v>15862803443</v>
      </c>
      <c r="T196" s="80" t="s">
        <v>46</v>
      </c>
      <c r="U196" s="80" t="s">
        <v>85</v>
      </c>
      <c r="V196" s="177"/>
      <c r="W196" s="80" t="str">
        <f>IF(OR(studentdata[[#This Row],[Weekend 2025]]&lt;&gt;""),"Yes","")</f>
        <v/>
      </c>
      <c r="X196" s="80"/>
      <c r="Y196" s="80" t="str">
        <f>IF(OR(studentdata[[#This Row],[Evening 2025]]&lt;&gt;""),"Yes","")</f>
        <v/>
      </c>
      <c r="Z196" s="80"/>
      <c r="AA196" s="80"/>
      <c r="AB196" s="80" t="str">
        <f>IF(OR(studentdata[[#This Row],[Weekend 2025 Enrolled]]="Yes",studentdata[[#This Row],[Evening 2025 Enrolled]]="Yes"),"Yes","")</f>
        <v/>
      </c>
    </row>
    <row r="197" spans="1:28" x14ac:dyDescent="0.25">
      <c r="A197" s="80">
        <v>14</v>
      </c>
      <c r="C197" s="67" t="s">
        <v>836</v>
      </c>
      <c r="D197" s="67" t="s">
        <v>68</v>
      </c>
      <c r="E197" s="67" t="s">
        <v>69</v>
      </c>
      <c r="F197" s="67">
        <v>48091</v>
      </c>
      <c r="I197" s="67"/>
      <c r="J197" s="67"/>
      <c r="M197" s="80">
        <v>197</v>
      </c>
      <c r="N197" s="67" t="s">
        <v>837</v>
      </c>
      <c r="O197" s="80">
        <v>123</v>
      </c>
      <c r="P197" s="67" t="s">
        <v>838</v>
      </c>
      <c r="Q197" s="67">
        <v>13136031402</v>
      </c>
      <c r="R197" s="67" t="s">
        <v>839</v>
      </c>
      <c r="T197" s="80" t="s">
        <v>56</v>
      </c>
      <c r="U197" s="80"/>
      <c r="V197" s="177"/>
      <c r="W197" s="80" t="str">
        <f>IF(OR(studentdata[[#This Row],[Weekend 2025]]&lt;&gt;""),"Yes","")</f>
        <v/>
      </c>
      <c r="X197" s="80"/>
      <c r="Y197" s="80" t="str">
        <f>IF(OR(studentdata[[#This Row],[Evening 2025]]&lt;&gt;""),"Yes","")</f>
        <v/>
      </c>
      <c r="Z197" s="80"/>
      <c r="AA197" s="80"/>
      <c r="AB197" s="80" t="str">
        <f>IF(OR(studentdata[[#This Row],[Weekend 2025 Enrolled]]="Yes",studentdata[[#This Row],[Evening 2025 Enrolled]]="Yes"),"Yes","")</f>
        <v/>
      </c>
    </row>
    <row r="198" spans="1:28" x14ac:dyDescent="0.25">
      <c r="A198" s="80">
        <v>11</v>
      </c>
      <c r="C198" s="67" t="s">
        <v>442</v>
      </c>
      <c r="D198" s="67" t="s">
        <v>68</v>
      </c>
      <c r="E198" s="67" t="s">
        <v>69</v>
      </c>
      <c r="F198" s="67">
        <v>48091</v>
      </c>
      <c r="I198" s="67"/>
      <c r="J198" s="67"/>
      <c r="M198" s="80">
        <v>198</v>
      </c>
      <c r="N198" s="67" t="s">
        <v>601</v>
      </c>
      <c r="O198" s="80">
        <v>124</v>
      </c>
      <c r="P198" s="67" t="s">
        <v>444</v>
      </c>
      <c r="Q198" s="67">
        <v>13134089019</v>
      </c>
      <c r="R198" s="67" t="s">
        <v>445</v>
      </c>
      <c r="S198" s="67">
        <v>13137822835</v>
      </c>
      <c r="T198" s="80" t="s">
        <v>46</v>
      </c>
      <c r="U198" s="80" t="s">
        <v>156</v>
      </c>
      <c r="V198" s="177">
        <v>4</v>
      </c>
      <c r="W198" s="80" t="str">
        <f>IF(OR(studentdata[[#This Row],[Weekend 2025]]&lt;&gt;""),"Yes","")</f>
        <v>Yes</v>
      </c>
      <c r="X198" s="80">
        <v>10</v>
      </c>
      <c r="Y198" s="80" t="str">
        <f>IF(OR(studentdata[[#This Row],[Evening 2025]]&lt;&gt;""),"Yes","")</f>
        <v/>
      </c>
      <c r="Z198" s="80"/>
      <c r="AA198" s="80"/>
      <c r="AB198" s="80" t="str">
        <f>IF(OR(studentdata[[#This Row],[Weekend 2025 Enrolled]]="Yes",studentdata[[#This Row],[Evening 2025 Enrolled]]="Yes"),"Yes","")</f>
        <v>Yes</v>
      </c>
    </row>
    <row r="199" spans="1:28" x14ac:dyDescent="0.25">
      <c r="A199" s="80">
        <v>6</v>
      </c>
      <c r="C199" s="67" t="s">
        <v>442</v>
      </c>
      <c r="D199" s="67" t="s">
        <v>68</v>
      </c>
      <c r="E199" s="67" t="s">
        <v>69</v>
      </c>
      <c r="F199" s="67">
        <v>48091</v>
      </c>
      <c r="I199" s="67"/>
      <c r="J199" s="67"/>
      <c r="M199" s="80">
        <v>199</v>
      </c>
      <c r="N199" s="67" t="s">
        <v>443</v>
      </c>
      <c r="O199" s="80">
        <v>124</v>
      </c>
      <c r="P199" s="67" t="s">
        <v>444</v>
      </c>
      <c r="Q199" s="67">
        <v>13134089019</v>
      </c>
      <c r="R199" s="67" t="s">
        <v>445</v>
      </c>
      <c r="S199" s="67">
        <v>13137822835</v>
      </c>
      <c r="T199" s="80" t="s">
        <v>56</v>
      </c>
      <c r="U199" s="80" t="s">
        <v>95</v>
      </c>
      <c r="V199" s="177" t="s">
        <v>137</v>
      </c>
      <c r="W199" s="80" t="str">
        <f>IF(OR(studentdata[[#This Row],[Weekend 2025]]&lt;&gt;""),"Yes","")</f>
        <v>Yes</v>
      </c>
      <c r="X199" s="80">
        <v>6</v>
      </c>
      <c r="Y199" s="80" t="str">
        <f>IF(OR(studentdata[[#This Row],[Evening 2025]]&lt;&gt;""),"Yes","")</f>
        <v/>
      </c>
      <c r="Z199" s="80"/>
      <c r="AA199" s="80"/>
      <c r="AB199" s="80" t="str">
        <f>IF(OR(studentdata[[#This Row],[Weekend 2025 Enrolled]]="Yes",studentdata[[#This Row],[Evening 2025 Enrolled]]="Yes"),"Yes","")</f>
        <v>Yes</v>
      </c>
    </row>
    <row r="200" spans="1:28" x14ac:dyDescent="0.25">
      <c r="A200" s="80">
        <v>7</v>
      </c>
      <c r="C200" s="67" t="s">
        <v>203</v>
      </c>
      <c r="D200" s="67" t="s">
        <v>68</v>
      </c>
      <c r="E200" s="67" t="s">
        <v>69</v>
      </c>
      <c r="F200" s="67">
        <v>48091</v>
      </c>
      <c r="I200" s="67"/>
      <c r="J200" s="67"/>
      <c r="M200" s="80">
        <v>200</v>
      </c>
      <c r="N200" s="67" t="s">
        <v>204</v>
      </c>
      <c r="O200" s="80">
        <v>125</v>
      </c>
      <c r="P200" s="67" t="s">
        <v>205</v>
      </c>
      <c r="Q200" s="67">
        <v>13136039528</v>
      </c>
      <c r="R200" s="67" t="s">
        <v>206</v>
      </c>
      <c r="T200" s="80" t="s">
        <v>56</v>
      </c>
      <c r="U200" s="80" t="s">
        <v>95</v>
      </c>
      <c r="V200" s="177">
        <v>2</v>
      </c>
      <c r="W200" s="80" t="str">
        <f>IF(OR(studentdata[[#This Row],[Weekend 2025]]&lt;&gt;""),"Yes","")</f>
        <v>Yes</v>
      </c>
      <c r="X200" s="80">
        <v>3</v>
      </c>
      <c r="Y200" s="80" t="str">
        <f>IF(OR(studentdata[[#This Row],[Evening 2025]]&lt;&gt;""),"Yes","")</f>
        <v/>
      </c>
      <c r="Z200" s="80"/>
      <c r="AA200" s="80"/>
      <c r="AB200" s="80" t="str">
        <f>IF(OR(studentdata[[#This Row],[Weekend 2025 Enrolled]]="Yes",studentdata[[#This Row],[Evening 2025 Enrolled]]="Yes"),"Yes","")</f>
        <v>Yes</v>
      </c>
    </row>
    <row r="201" spans="1:28" x14ac:dyDescent="0.25">
      <c r="A201" s="80">
        <v>13</v>
      </c>
      <c r="C201" s="67" t="s">
        <v>1070</v>
      </c>
      <c r="D201" s="67" t="s">
        <v>68</v>
      </c>
      <c r="E201" s="67" t="s">
        <v>69</v>
      </c>
      <c r="F201" s="67">
        <v>48044</v>
      </c>
      <c r="I201" s="67"/>
      <c r="J201" s="67"/>
      <c r="M201" s="80">
        <v>201</v>
      </c>
      <c r="N201" s="67" t="s">
        <v>1071</v>
      </c>
      <c r="O201" s="80">
        <v>126</v>
      </c>
      <c r="P201" s="67" t="s">
        <v>1072</v>
      </c>
      <c r="Q201" s="67">
        <v>13134851822</v>
      </c>
      <c r="R201" s="67" t="s">
        <v>1073</v>
      </c>
      <c r="T201" s="80" t="s">
        <v>46</v>
      </c>
      <c r="U201" s="80" t="s">
        <v>109</v>
      </c>
      <c r="V201" s="177"/>
      <c r="W201" s="80" t="str">
        <f>IF(OR(studentdata[[#This Row],[Weekend 2025]]&lt;&gt;""),"Yes","")</f>
        <v/>
      </c>
      <c r="X201" s="80"/>
      <c r="Y201" s="80" t="str">
        <f>IF(OR(studentdata[[#This Row],[Evening 2025]]&lt;&gt;""),"Yes","")</f>
        <v/>
      </c>
      <c r="Z201" s="80"/>
      <c r="AA201" s="80"/>
      <c r="AB201" s="80" t="str">
        <f>IF(OR(studentdata[[#This Row],[Weekend 2025 Enrolled]]="Yes",studentdata[[#This Row],[Evening 2025 Enrolled]]="Yes"),"Yes","")</f>
        <v/>
      </c>
    </row>
    <row r="202" spans="1:28" x14ac:dyDescent="0.25">
      <c r="A202" s="80">
        <v>12</v>
      </c>
      <c r="C202" s="67" t="s">
        <v>840</v>
      </c>
      <c r="D202" s="67" t="s">
        <v>68</v>
      </c>
      <c r="E202" s="67" t="s">
        <v>69</v>
      </c>
      <c r="F202" s="67">
        <v>48091</v>
      </c>
      <c r="I202" s="67"/>
      <c r="J202" s="67"/>
      <c r="M202" s="80">
        <v>202</v>
      </c>
      <c r="N202" s="67" t="s">
        <v>841</v>
      </c>
      <c r="O202" s="80">
        <v>127</v>
      </c>
      <c r="P202" s="67" t="s">
        <v>842</v>
      </c>
      <c r="Q202" s="67">
        <v>12487217664</v>
      </c>
      <c r="R202" s="67" t="s">
        <v>843</v>
      </c>
      <c r="S202" s="67">
        <v>13132811809</v>
      </c>
      <c r="T202" s="80" t="s">
        <v>56</v>
      </c>
      <c r="U202" s="80" t="s">
        <v>61</v>
      </c>
      <c r="V202" s="177"/>
      <c r="W202" s="80" t="str">
        <f>IF(OR(studentdata[[#This Row],[Weekend 2025]]&lt;&gt;""),"Yes","")</f>
        <v/>
      </c>
      <c r="X202" s="80"/>
      <c r="Y202" s="80" t="str">
        <f>IF(OR(studentdata[[#This Row],[Evening 2025]]&lt;&gt;""),"Yes","")</f>
        <v/>
      </c>
      <c r="Z202" s="80"/>
      <c r="AA202" s="80"/>
      <c r="AB202" s="80" t="str">
        <f>IF(OR(studentdata[[#This Row],[Weekend 2025 Enrolled]]="Yes",studentdata[[#This Row],[Evening 2025 Enrolled]]="Yes"),"Yes","")</f>
        <v/>
      </c>
    </row>
    <row r="203" spans="1:28" x14ac:dyDescent="0.25">
      <c r="A203" s="80">
        <v>7</v>
      </c>
      <c r="C203" s="67" t="s">
        <v>844</v>
      </c>
      <c r="D203" s="67" t="s">
        <v>93</v>
      </c>
      <c r="E203" s="67" t="s">
        <v>69</v>
      </c>
      <c r="F203" s="67">
        <v>48312</v>
      </c>
      <c r="I203" s="67"/>
      <c r="J203" s="67"/>
      <c r="M203" s="80">
        <v>203</v>
      </c>
      <c r="N203" s="67" t="s">
        <v>845</v>
      </c>
      <c r="O203" s="80">
        <v>128</v>
      </c>
      <c r="P203" s="67" t="s">
        <v>846</v>
      </c>
      <c r="Q203" s="67">
        <v>13134828053</v>
      </c>
      <c r="R203" s="67" t="s">
        <v>847</v>
      </c>
      <c r="T203" s="80" t="s">
        <v>56</v>
      </c>
      <c r="U203" s="80" t="s">
        <v>95</v>
      </c>
      <c r="V203" s="177"/>
      <c r="W203" s="80" t="str">
        <f>IF(OR(studentdata[[#This Row],[Weekend 2025]]&lt;&gt;""),"Yes","")</f>
        <v/>
      </c>
      <c r="X203" s="80"/>
      <c r="Y203" s="80" t="str">
        <f>IF(OR(studentdata[[#This Row],[Evening 2025]]&lt;&gt;""),"Yes","")</f>
        <v/>
      </c>
      <c r="Z203" s="80"/>
      <c r="AA203" s="80"/>
      <c r="AB203" s="80" t="str">
        <f>IF(OR(studentdata[[#This Row],[Weekend 2025 Enrolled]]="Yes",studentdata[[#This Row],[Evening 2025 Enrolled]]="Yes"),"Yes","")</f>
        <v/>
      </c>
    </row>
    <row r="204" spans="1:28" x14ac:dyDescent="0.25">
      <c r="A204" s="80">
        <v>6</v>
      </c>
      <c r="C204" s="67" t="s">
        <v>844</v>
      </c>
      <c r="D204" s="67" t="s">
        <v>93</v>
      </c>
      <c r="E204" s="67" t="s">
        <v>69</v>
      </c>
      <c r="F204" s="67">
        <v>48312</v>
      </c>
      <c r="I204" s="67"/>
      <c r="J204" s="67"/>
      <c r="M204" s="80">
        <v>204</v>
      </c>
      <c r="N204" s="67" t="s">
        <v>1074</v>
      </c>
      <c r="O204" s="80">
        <v>128</v>
      </c>
      <c r="P204" s="67" t="s">
        <v>846</v>
      </c>
      <c r="Q204" s="67">
        <v>13134828053</v>
      </c>
      <c r="R204" s="67" t="s">
        <v>847</v>
      </c>
      <c r="T204" s="80" t="s">
        <v>46</v>
      </c>
      <c r="U204" s="80" t="s">
        <v>171</v>
      </c>
      <c r="V204" s="177"/>
      <c r="W204" s="80" t="str">
        <f>IF(OR(studentdata[[#This Row],[Weekend 2025]]&lt;&gt;""),"Yes","")</f>
        <v/>
      </c>
      <c r="X204" s="80"/>
      <c r="Y204" s="80" t="str">
        <f>IF(OR(studentdata[[#This Row],[Evening 2025]]&lt;&gt;""),"Yes","")</f>
        <v/>
      </c>
      <c r="Z204" s="80"/>
      <c r="AA204" s="80"/>
      <c r="AB204" s="80" t="str">
        <f>IF(OR(studentdata[[#This Row],[Weekend 2025 Enrolled]]="Yes",studentdata[[#This Row],[Evening 2025 Enrolled]]="Yes"),"Yes","")</f>
        <v/>
      </c>
    </row>
    <row r="205" spans="1:28" x14ac:dyDescent="0.25">
      <c r="A205" s="80">
        <v>15</v>
      </c>
      <c r="C205" s="67" t="s">
        <v>579</v>
      </c>
      <c r="D205" s="67" t="s">
        <v>580</v>
      </c>
      <c r="E205" s="67" t="s">
        <v>69</v>
      </c>
      <c r="F205" s="67">
        <v>48083</v>
      </c>
      <c r="I205" s="67"/>
      <c r="J205" s="67"/>
      <c r="M205" s="80">
        <v>205</v>
      </c>
      <c r="N205" s="67" t="s">
        <v>602</v>
      </c>
      <c r="O205" s="80">
        <v>129</v>
      </c>
      <c r="P205" s="67" t="s">
        <v>582</v>
      </c>
      <c r="Q205" s="67">
        <v>13139148195</v>
      </c>
      <c r="R205" s="67" t="s">
        <v>583</v>
      </c>
      <c r="S205" s="67">
        <v>13132850939</v>
      </c>
      <c r="T205" s="80" t="s">
        <v>46</v>
      </c>
      <c r="U205" s="80" t="s">
        <v>190</v>
      </c>
      <c r="V205" s="177">
        <v>4</v>
      </c>
      <c r="W205" s="80" t="str">
        <f>IF(OR(studentdata[[#This Row],[Weekend 2025]]&lt;&gt;""),"Yes","")</f>
        <v>Yes</v>
      </c>
      <c r="X205" s="80">
        <v>11</v>
      </c>
      <c r="Y205" s="80" t="str">
        <f>IF(OR(studentdata[[#This Row],[Evening 2025]]&lt;&gt;""),"Yes","")</f>
        <v/>
      </c>
      <c r="Z205" s="80"/>
      <c r="AA205" s="80"/>
      <c r="AB205" s="80" t="str">
        <f>IF(OR(studentdata[[#This Row],[Weekend 2025 Enrolled]]="Yes",studentdata[[#This Row],[Evening 2025 Enrolled]]="Yes"),"Yes","")</f>
        <v>Yes</v>
      </c>
    </row>
    <row r="206" spans="1:28" x14ac:dyDescent="0.25">
      <c r="A206" s="80">
        <v>13</v>
      </c>
      <c r="B206" s="67" t="s">
        <v>162</v>
      </c>
      <c r="C206" s="67" t="s">
        <v>579</v>
      </c>
      <c r="D206" s="67" t="s">
        <v>580</v>
      </c>
      <c r="E206" s="67" t="s">
        <v>69</v>
      </c>
      <c r="F206" s="67">
        <v>48083</v>
      </c>
      <c r="I206" s="67"/>
      <c r="J206" s="67"/>
      <c r="M206" s="80">
        <v>206</v>
      </c>
      <c r="N206" s="67" t="s">
        <v>581</v>
      </c>
      <c r="O206" s="80">
        <v>129</v>
      </c>
      <c r="P206" s="67" t="s">
        <v>582</v>
      </c>
      <c r="Q206" s="67">
        <v>13139148195</v>
      </c>
      <c r="R206" s="67" t="s">
        <v>583</v>
      </c>
      <c r="S206" s="67">
        <v>13132850939</v>
      </c>
      <c r="T206" s="80" t="s">
        <v>46</v>
      </c>
      <c r="U206" s="80" t="s">
        <v>109</v>
      </c>
      <c r="V206" s="177">
        <v>3</v>
      </c>
      <c r="W206" s="80" t="str">
        <f>IF(OR(studentdata[[#This Row],[Weekend 2025]]&lt;&gt;""),"Yes","")</f>
        <v>Yes</v>
      </c>
      <c r="X206" s="80">
        <v>12</v>
      </c>
      <c r="Y206" s="80" t="str">
        <f>IF(OR(studentdata[[#This Row],[Evening 2025]]&lt;&gt;""),"Yes","")</f>
        <v/>
      </c>
      <c r="Z206" s="80"/>
      <c r="AA206" s="80"/>
      <c r="AB206" s="80" t="str">
        <f>IF(OR(studentdata[[#This Row],[Weekend 2025 Enrolled]]="Yes",studentdata[[#This Row],[Evening 2025 Enrolled]]="Yes"),"Yes","")</f>
        <v>Yes</v>
      </c>
    </row>
    <row r="207" spans="1:28" x14ac:dyDescent="0.25">
      <c r="A207" s="80">
        <v>13</v>
      </c>
      <c r="C207" s="67" t="s">
        <v>356</v>
      </c>
      <c r="D207" s="67" t="s">
        <v>68</v>
      </c>
      <c r="E207" s="67" t="s">
        <v>69</v>
      </c>
      <c r="F207" s="67">
        <v>48092</v>
      </c>
      <c r="I207" s="67"/>
      <c r="J207" s="67"/>
      <c r="M207" s="80">
        <v>207</v>
      </c>
      <c r="N207" s="88" t="s">
        <v>296</v>
      </c>
      <c r="O207" s="80">
        <v>130</v>
      </c>
      <c r="P207" s="67" t="s">
        <v>357</v>
      </c>
      <c r="Q207" s="67">
        <v>15864195982</v>
      </c>
      <c r="R207" s="67" t="s">
        <v>358</v>
      </c>
      <c r="T207" s="80" t="s">
        <v>56</v>
      </c>
      <c r="U207" s="80" t="s">
        <v>109</v>
      </c>
      <c r="V207" s="177">
        <v>4</v>
      </c>
      <c r="W207" s="80" t="str">
        <f>IF(OR(studentdata[[#This Row],[Weekend 2025]]&lt;&gt;""),"Yes","")</f>
        <v>Yes</v>
      </c>
      <c r="X207" s="80">
        <v>11</v>
      </c>
      <c r="Y207" s="80" t="str">
        <f>IF(OR(studentdata[[#This Row],[Evening 2025]]&lt;&gt;""),"Yes","")</f>
        <v/>
      </c>
      <c r="Z207" s="80"/>
      <c r="AA207" s="80"/>
      <c r="AB207" s="80" t="str">
        <f>IF(OR(studentdata[[#This Row],[Weekend 2025 Enrolled]]="Yes",studentdata[[#This Row],[Evening 2025 Enrolled]]="Yes"),"Yes","")</f>
        <v>Yes</v>
      </c>
    </row>
    <row r="208" spans="1:28" x14ac:dyDescent="0.25">
      <c r="A208" s="80">
        <v>11</v>
      </c>
      <c r="C208" s="67" t="s">
        <v>356</v>
      </c>
      <c r="D208" s="67" t="s">
        <v>68</v>
      </c>
      <c r="E208" s="67" t="s">
        <v>69</v>
      </c>
      <c r="F208" s="67">
        <v>48092</v>
      </c>
      <c r="I208" s="67"/>
      <c r="J208" s="67"/>
      <c r="M208" s="80">
        <v>208</v>
      </c>
      <c r="N208" s="67" t="s">
        <v>359</v>
      </c>
      <c r="O208" s="80">
        <v>130</v>
      </c>
      <c r="P208" s="67" t="s">
        <v>357</v>
      </c>
      <c r="Q208" s="67">
        <v>15864195982</v>
      </c>
      <c r="R208" s="67" t="s">
        <v>358</v>
      </c>
      <c r="T208" s="80" t="s">
        <v>56</v>
      </c>
      <c r="U208" s="80" t="s">
        <v>156</v>
      </c>
      <c r="V208" s="177">
        <v>4</v>
      </c>
      <c r="W208" s="80" t="str">
        <f>IF(OR(studentdata[[#This Row],[Weekend 2025]]&lt;&gt;""),"Yes","")</f>
        <v>Yes</v>
      </c>
      <c r="X208" s="80">
        <v>12</v>
      </c>
      <c r="Y208" s="80" t="str">
        <f>IF(OR(studentdata[[#This Row],[Evening 2025]]&lt;&gt;""),"Yes","")</f>
        <v/>
      </c>
      <c r="Z208" s="80"/>
      <c r="AA208" s="80"/>
      <c r="AB208" s="80" t="str">
        <f>IF(OR(studentdata[[#This Row],[Weekend 2025 Enrolled]]="Yes",studentdata[[#This Row],[Evening 2025 Enrolled]]="Yes"),"Yes","")</f>
        <v>Yes</v>
      </c>
    </row>
    <row r="209" spans="1:28" x14ac:dyDescent="0.25">
      <c r="A209" s="80">
        <v>14</v>
      </c>
      <c r="C209" s="67" t="s">
        <v>362</v>
      </c>
      <c r="D209" s="67" t="s">
        <v>68</v>
      </c>
      <c r="E209" s="67" t="s">
        <v>69</v>
      </c>
      <c r="F209" s="67">
        <v>48091</v>
      </c>
      <c r="I209" s="67"/>
      <c r="J209" s="67"/>
      <c r="M209" s="80">
        <v>209</v>
      </c>
      <c r="N209" s="67" t="s">
        <v>363</v>
      </c>
      <c r="O209" s="80">
        <v>131</v>
      </c>
      <c r="P209" s="67" t="s">
        <v>364</v>
      </c>
      <c r="Q209" s="67">
        <v>13134552807</v>
      </c>
      <c r="R209" s="67" t="s">
        <v>365</v>
      </c>
      <c r="S209" s="67">
        <v>13133498343</v>
      </c>
      <c r="T209" s="80" t="s">
        <v>56</v>
      </c>
      <c r="U209" s="80" t="s">
        <v>199</v>
      </c>
      <c r="V209" s="177">
        <v>4</v>
      </c>
      <c r="W209" s="80" t="str">
        <f>IF(OR(studentdata[[#This Row],[Weekend 2025]]&lt;&gt;""),"Yes","")</f>
        <v>Yes</v>
      </c>
      <c r="X209" s="80">
        <v>15</v>
      </c>
      <c r="Y209" s="80" t="str">
        <f>IF(OR(studentdata[[#This Row],[Evening 2025]]&lt;&gt;""),"Yes","")</f>
        <v/>
      </c>
      <c r="Z209" s="80"/>
      <c r="AA209" s="80"/>
      <c r="AB209" s="80" t="str">
        <f>IF(OR(studentdata[[#This Row],[Weekend 2025 Enrolled]]="Yes",studentdata[[#This Row],[Evening 2025 Enrolled]]="Yes"),"Yes","")</f>
        <v>Yes</v>
      </c>
    </row>
    <row r="210" spans="1:28" x14ac:dyDescent="0.25">
      <c r="A210" s="80">
        <v>7</v>
      </c>
      <c r="C210" s="67" t="s">
        <v>848</v>
      </c>
      <c r="D210" s="67" t="s">
        <v>93</v>
      </c>
      <c r="E210" s="67" t="s">
        <v>69</v>
      </c>
      <c r="F210" s="67">
        <v>48310</v>
      </c>
      <c r="I210" s="67"/>
      <c r="J210" s="67"/>
      <c r="M210" s="80">
        <v>210</v>
      </c>
      <c r="N210" s="67" t="s">
        <v>849</v>
      </c>
      <c r="O210" s="80">
        <v>132</v>
      </c>
      <c r="P210" s="67" t="s">
        <v>850</v>
      </c>
      <c r="Q210" s="67">
        <v>15862443304</v>
      </c>
      <c r="R210" s="67" t="s">
        <v>294</v>
      </c>
      <c r="T210" s="80" t="s">
        <v>56</v>
      </c>
      <c r="U210" s="80" t="s">
        <v>57</v>
      </c>
      <c r="V210" s="177"/>
      <c r="W210" s="80" t="str">
        <f>IF(OR(studentdata[[#This Row],[Weekend 2025]]&lt;&gt;""),"Yes","")</f>
        <v/>
      </c>
      <c r="X210" s="80"/>
      <c r="Y210" s="80" t="str">
        <f>IF(OR(studentdata[[#This Row],[Evening 2025]]&lt;&gt;""),"Yes","")</f>
        <v/>
      </c>
      <c r="Z210" s="80"/>
      <c r="AA210" s="80"/>
      <c r="AB210" s="80" t="str">
        <f>IF(OR(studentdata[[#This Row],[Weekend 2025 Enrolled]]="Yes",studentdata[[#This Row],[Evening 2025 Enrolled]]="Yes"),"Yes","")</f>
        <v/>
      </c>
    </row>
    <row r="211" spans="1:28" x14ac:dyDescent="0.25">
      <c r="A211" s="80">
        <v>7</v>
      </c>
      <c r="C211" s="67" t="s">
        <v>629</v>
      </c>
      <c r="D211" s="67" t="s">
        <v>68</v>
      </c>
      <c r="E211" s="67" t="s">
        <v>69</v>
      </c>
      <c r="F211" s="67">
        <v>48091</v>
      </c>
      <c r="I211" s="67"/>
      <c r="J211" s="67"/>
      <c r="M211" s="80">
        <v>211</v>
      </c>
      <c r="N211" s="67" t="s">
        <v>630</v>
      </c>
      <c r="O211" s="80">
        <v>133</v>
      </c>
      <c r="P211" s="67" t="s">
        <v>631</v>
      </c>
      <c r="Q211" s="67">
        <v>13132857651</v>
      </c>
      <c r="R211" s="67" t="s">
        <v>632</v>
      </c>
      <c r="S211" s="67">
        <v>13137848189</v>
      </c>
      <c r="T211" s="80" t="s">
        <v>46</v>
      </c>
      <c r="U211" s="80" t="s">
        <v>57</v>
      </c>
      <c r="V211" s="177" t="s">
        <v>48</v>
      </c>
      <c r="W211" s="80" t="str">
        <f>IF(OR(studentdata[[#This Row],[Weekend 2025]]&lt;&gt;""),"Yes","")</f>
        <v>Yes</v>
      </c>
      <c r="X211" s="80">
        <v>9</v>
      </c>
      <c r="Y211" s="80" t="str">
        <f>IF(OR(studentdata[[#This Row],[Evening 2025]]&lt;&gt;""),"Yes","")</f>
        <v/>
      </c>
      <c r="Z211" s="80"/>
      <c r="AA211" s="80"/>
      <c r="AB211" s="80" t="str">
        <f>IF(OR(studentdata[[#This Row],[Weekend 2025 Enrolled]]="Yes",studentdata[[#This Row],[Evening 2025 Enrolled]]="Yes"),"Yes","")</f>
        <v>Yes</v>
      </c>
    </row>
    <row r="212" spans="1:28" x14ac:dyDescent="0.25">
      <c r="A212" s="80">
        <v>14</v>
      </c>
      <c r="B212" s="67" t="s">
        <v>162</v>
      </c>
      <c r="C212" s="67" t="s">
        <v>253</v>
      </c>
      <c r="D212" s="67" t="s">
        <v>68</v>
      </c>
      <c r="E212" s="67" t="s">
        <v>69</v>
      </c>
      <c r="F212" s="67">
        <v>48093</v>
      </c>
      <c r="I212" s="67"/>
      <c r="J212" s="67"/>
      <c r="M212" s="80">
        <v>212</v>
      </c>
      <c r="N212" s="67" t="s">
        <v>609</v>
      </c>
      <c r="O212" s="80">
        <v>134</v>
      </c>
      <c r="P212" s="67" t="s">
        <v>255</v>
      </c>
      <c r="Q212" s="67">
        <v>13132402881</v>
      </c>
      <c r="R212" s="67" t="s">
        <v>256</v>
      </c>
      <c r="S212" s="67">
        <v>15863547036</v>
      </c>
      <c r="T212" s="80" t="s">
        <v>46</v>
      </c>
      <c r="U212" s="80" t="s">
        <v>61</v>
      </c>
      <c r="V212" s="177">
        <v>4</v>
      </c>
      <c r="W212" s="80" t="str">
        <f>IF(OR(studentdata[[#This Row],[Weekend 2025]]&lt;&gt;""),"Yes","")</f>
        <v>Yes</v>
      </c>
      <c r="X212" s="80">
        <v>15</v>
      </c>
      <c r="Y212" s="80" t="str">
        <f>IF(OR(studentdata[[#This Row],[Evening 2025]]&lt;&gt;""),"Yes","")</f>
        <v/>
      </c>
      <c r="Z212" s="80"/>
      <c r="AA212" s="80"/>
      <c r="AB212" s="80" t="str">
        <f>IF(OR(studentdata[[#This Row],[Weekend 2025 Enrolled]]="Yes",studentdata[[#This Row],[Evening 2025 Enrolled]]="Yes"),"Yes","")</f>
        <v>Yes</v>
      </c>
    </row>
    <row r="213" spans="1:28" x14ac:dyDescent="0.25">
      <c r="A213" s="80">
        <v>7</v>
      </c>
      <c r="C213" s="67" t="s">
        <v>253</v>
      </c>
      <c r="D213" s="67" t="s">
        <v>68</v>
      </c>
      <c r="E213" s="67" t="s">
        <v>69</v>
      </c>
      <c r="F213" s="67">
        <v>48093</v>
      </c>
      <c r="I213" s="67"/>
      <c r="J213" s="67"/>
      <c r="M213" s="80">
        <v>213</v>
      </c>
      <c r="N213" s="67" t="s">
        <v>254</v>
      </c>
      <c r="O213" s="80">
        <v>134</v>
      </c>
      <c r="P213" s="67" t="s">
        <v>255</v>
      </c>
      <c r="Q213" s="67">
        <v>13132402881</v>
      </c>
      <c r="R213" s="67" t="s">
        <v>256</v>
      </c>
      <c r="S213" s="67">
        <v>15863547036</v>
      </c>
      <c r="T213" s="80" t="s">
        <v>56</v>
      </c>
      <c r="U213" s="80" t="s">
        <v>57</v>
      </c>
      <c r="V213" s="177">
        <v>2</v>
      </c>
      <c r="W213" s="80" t="str">
        <f>IF(OR(studentdata[[#This Row],[Weekend 2025]]&lt;&gt;""),"Yes","")</f>
        <v>Yes</v>
      </c>
      <c r="X213" s="80">
        <v>14</v>
      </c>
      <c r="Y213" s="80" t="str">
        <f>IF(OR(studentdata[[#This Row],[Evening 2025]]&lt;&gt;""),"Yes","")</f>
        <v/>
      </c>
      <c r="Z213" s="80"/>
      <c r="AA213" s="80"/>
      <c r="AB213" s="80" t="str">
        <f>IF(OR(studentdata[[#This Row],[Weekend 2025 Enrolled]]="Yes",studentdata[[#This Row],[Evening 2025 Enrolled]]="Yes"),"Yes","")</f>
        <v>Yes</v>
      </c>
    </row>
    <row r="214" spans="1:28" x14ac:dyDescent="0.25">
      <c r="A214" s="80">
        <v>10</v>
      </c>
      <c r="C214" s="67" t="s">
        <v>851</v>
      </c>
      <c r="D214" s="67" t="s">
        <v>68</v>
      </c>
      <c r="E214" s="67" t="s">
        <v>69</v>
      </c>
      <c r="F214" s="67">
        <v>48091</v>
      </c>
      <c r="I214" s="67"/>
      <c r="J214" s="67"/>
      <c r="M214" s="80">
        <v>214</v>
      </c>
      <c r="N214" s="67" t="s">
        <v>852</v>
      </c>
      <c r="O214" s="80">
        <v>135</v>
      </c>
      <c r="P214" s="67" t="s">
        <v>853</v>
      </c>
      <c r="Q214" s="67">
        <v>15862133720</v>
      </c>
      <c r="R214" s="67" t="s">
        <v>854</v>
      </c>
      <c r="T214" s="80" t="s">
        <v>56</v>
      </c>
      <c r="U214" s="80"/>
      <c r="V214" s="177"/>
      <c r="W214" s="80" t="str">
        <f>IF(OR(studentdata[[#This Row],[Weekend 2025]]&lt;&gt;""),"Yes","")</f>
        <v/>
      </c>
      <c r="X214" s="80"/>
      <c r="Y214" s="80" t="str">
        <f>IF(OR(studentdata[[#This Row],[Evening 2025]]&lt;&gt;""),"Yes","")</f>
        <v/>
      </c>
      <c r="Z214" s="80"/>
      <c r="AA214" s="80"/>
      <c r="AB214" s="80" t="str">
        <f>IF(OR(studentdata[[#This Row],[Weekend 2025 Enrolled]]="Yes",studentdata[[#This Row],[Evening 2025 Enrolled]]="Yes"),"Yes","")</f>
        <v/>
      </c>
    </row>
    <row r="215" spans="1:28" x14ac:dyDescent="0.25">
      <c r="A215" s="80">
        <v>7</v>
      </c>
      <c r="C215" s="67" t="s">
        <v>851</v>
      </c>
      <c r="D215" s="67" t="s">
        <v>68</v>
      </c>
      <c r="E215" s="67" t="s">
        <v>69</v>
      </c>
      <c r="F215" s="67">
        <v>48091</v>
      </c>
      <c r="I215" s="67"/>
      <c r="J215" s="67"/>
      <c r="M215" s="80">
        <v>215</v>
      </c>
      <c r="N215" s="67" t="s">
        <v>1075</v>
      </c>
      <c r="O215" s="80">
        <v>135</v>
      </c>
      <c r="P215" s="67" t="s">
        <v>853</v>
      </c>
      <c r="Q215" s="67">
        <v>15862133720</v>
      </c>
      <c r="R215" s="67" t="s">
        <v>854</v>
      </c>
      <c r="T215" s="80" t="s">
        <v>46</v>
      </c>
      <c r="U215" s="80"/>
      <c r="V215" s="177"/>
      <c r="W215" s="80" t="str">
        <f>IF(OR(studentdata[[#This Row],[Weekend 2025]]&lt;&gt;""),"Yes","")</f>
        <v/>
      </c>
      <c r="X215" s="80"/>
      <c r="Y215" s="80" t="str">
        <f>IF(OR(studentdata[[#This Row],[Evening 2025]]&lt;&gt;""),"Yes","")</f>
        <v/>
      </c>
      <c r="Z215" s="80"/>
      <c r="AA215" s="80"/>
      <c r="AB215" s="80" t="str">
        <f>IF(OR(studentdata[[#This Row],[Weekend 2025 Enrolled]]="Yes",studentdata[[#This Row],[Evening 2025 Enrolled]]="Yes"),"Yes","")</f>
        <v/>
      </c>
    </row>
    <row r="216" spans="1:28" x14ac:dyDescent="0.25">
      <c r="A216" s="80">
        <v>5</v>
      </c>
      <c r="C216" s="67" t="s">
        <v>851</v>
      </c>
      <c r="D216" s="67" t="s">
        <v>68</v>
      </c>
      <c r="E216" s="67" t="s">
        <v>69</v>
      </c>
      <c r="F216" s="67">
        <v>48091</v>
      </c>
      <c r="I216" s="67"/>
      <c r="J216" s="67"/>
      <c r="M216" s="80">
        <v>216</v>
      </c>
      <c r="N216" s="67" t="s">
        <v>855</v>
      </c>
      <c r="O216" s="80">
        <v>135</v>
      </c>
      <c r="P216" s="67" t="s">
        <v>853</v>
      </c>
      <c r="Q216" s="67">
        <v>15862133720</v>
      </c>
      <c r="R216" s="67" t="s">
        <v>854</v>
      </c>
      <c r="T216" s="80" t="s">
        <v>56</v>
      </c>
      <c r="U216" s="80"/>
      <c r="V216" s="177"/>
      <c r="W216" s="80" t="str">
        <f>IF(OR(studentdata[[#This Row],[Weekend 2025]]&lt;&gt;""),"Yes","")</f>
        <v/>
      </c>
      <c r="X216" s="80"/>
      <c r="Y216" s="80" t="str">
        <f>IF(OR(studentdata[[#This Row],[Evening 2025]]&lt;&gt;""),"Yes","")</f>
        <v/>
      </c>
      <c r="Z216" s="80"/>
      <c r="AA216" s="80"/>
      <c r="AB216" s="80" t="str">
        <f>IF(OR(studentdata[[#This Row],[Weekend 2025 Enrolled]]="Yes",studentdata[[#This Row],[Evening 2025 Enrolled]]="Yes"),"Yes","")</f>
        <v/>
      </c>
    </row>
    <row r="217" spans="1:28" x14ac:dyDescent="0.25">
      <c r="A217" s="80">
        <v>9</v>
      </c>
      <c r="C217" s="67" t="s">
        <v>352</v>
      </c>
      <c r="D217" s="67" t="s">
        <v>68</v>
      </c>
      <c r="E217" s="67" t="s">
        <v>69</v>
      </c>
      <c r="F217" s="67">
        <v>48092</v>
      </c>
      <c r="I217" s="67"/>
      <c r="J217" s="67"/>
      <c r="M217" s="80">
        <v>217</v>
      </c>
      <c r="N217" s="67" t="s">
        <v>603</v>
      </c>
      <c r="O217" s="80">
        <v>136</v>
      </c>
      <c r="P217" s="67" t="s">
        <v>354</v>
      </c>
      <c r="Q217" s="67">
        <v>13135051957</v>
      </c>
      <c r="R217" s="67" t="s">
        <v>355</v>
      </c>
      <c r="S217" s="67">
        <v>13134193395</v>
      </c>
      <c r="T217" s="80" t="s">
        <v>46</v>
      </c>
      <c r="U217" s="80" t="s">
        <v>85</v>
      </c>
      <c r="V217" s="177">
        <v>4</v>
      </c>
      <c r="W217" s="80" t="str">
        <f>IF(OR(studentdata[[#This Row],[Weekend 2025]]&lt;&gt;""),"Yes","")</f>
        <v>Yes</v>
      </c>
      <c r="X217" s="80">
        <v>12</v>
      </c>
      <c r="Y217" s="80" t="str">
        <f>IF(OR(studentdata[[#This Row],[Evening 2025]]&lt;&gt;""),"Yes","")</f>
        <v/>
      </c>
      <c r="Z217" s="80"/>
      <c r="AA217" s="80"/>
      <c r="AB217" s="80" t="str">
        <f>IF(OR(studentdata[[#This Row],[Weekend 2025 Enrolled]]="Yes",studentdata[[#This Row],[Evening 2025 Enrolled]]="Yes"),"Yes","")</f>
        <v>Yes</v>
      </c>
    </row>
    <row r="218" spans="1:28" x14ac:dyDescent="0.25">
      <c r="A218" s="80">
        <v>12</v>
      </c>
      <c r="C218" s="67" t="s">
        <v>352</v>
      </c>
      <c r="D218" s="67" t="s">
        <v>68</v>
      </c>
      <c r="E218" s="67" t="s">
        <v>69</v>
      </c>
      <c r="F218" s="67">
        <v>48092</v>
      </c>
      <c r="I218" s="67"/>
      <c r="J218" s="67"/>
      <c r="M218" s="80">
        <v>218</v>
      </c>
      <c r="N218" s="67" t="s">
        <v>353</v>
      </c>
      <c r="O218" s="80">
        <v>136</v>
      </c>
      <c r="P218" s="67" t="s">
        <v>354</v>
      </c>
      <c r="Q218" s="67">
        <v>13135051957</v>
      </c>
      <c r="R218" s="67" t="s">
        <v>355</v>
      </c>
      <c r="S218" s="67">
        <v>13134193395</v>
      </c>
      <c r="T218" s="80" t="s">
        <v>56</v>
      </c>
      <c r="U218" s="80" t="s">
        <v>109</v>
      </c>
      <c r="V218" s="177">
        <v>4</v>
      </c>
      <c r="W218" s="80" t="str">
        <f>IF(OR(studentdata[[#This Row],[Weekend 2025]]&lt;&gt;""),"Yes","")</f>
        <v>Yes</v>
      </c>
      <c r="X218" s="80">
        <v>10</v>
      </c>
      <c r="Y218" s="80" t="str">
        <f>IF(OR(studentdata[[#This Row],[Evening 2025]]&lt;&gt;""),"Yes","")</f>
        <v/>
      </c>
      <c r="Z218" s="80"/>
      <c r="AA218" s="80"/>
      <c r="AB218" s="80" t="str">
        <f>IF(OR(studentdata[[#This Row],[Weekend 2025 Enrolled]]="Yes",studentdata[[#This Row],[Evening 2025 Enrolled]]="Yes"),"Yes","")</f>
        <v>Yes</v>
      </c>
    </row>
    <row r="219" spans="1:28" x14ac:dyDescent="0.25">
      <c r="A219" s="80">
        <v>13</v>
      </c>
      <c r="C219" s="67" t="s">
        <v>274</v>
      </c>
      <c r="D219" s="67" t="s">
        <v>68</v>
      </c>
      <c r="E219" s="67" t="s">
        <v>69</v>
      </c>
      <c r="F219" s="67">
        <v>48091</v>
      </c>
      <c r="I219" s="67"/>
      <c r="J219" s="67"/>
      <c r="M219" s="80">
        <v>219</v>
      </c>
      <c r="N219" s="67" t="s">
        <v>275</v>
      </c>
      <c r="O219" s="80">
        <v>137</v>
      </c>
      <c r="P219" s="67" t="s">
        <v>276</v>
      </c>
      <c r="Q219" s="67">
        <v>15865778988</v>
      </c>
      <c r="R219" s="67" t="s">
        <v>277</v>
      </c>
      <c r="T219" s="80" t="s">
        <v>56</v>
      </c>
      <c r="U219" s="80" t="s">
        <v>109</v>
      </c>
      <c r="V219" s="177">
        <v>3</v>
      </c>
      <c r="W219" s="80" t="str">
        <f>IF(OR(studentdata[[#This Row],[Weekend 2025]]&lt;&gt;""),"Yes","")</f>
        <v>Yes</v>
      </c>
      <c r="X219" s="80">
        <v>4</v>
      </c>
      <c r="Y219" s="80" t="str">
        <f>IF(OR(studentdata[[#This Row],[Evening 2025]]&lt;&gt;""),"Yes","")</f>
        <v/>
      </c>
      <c r="Z219" s="80"/>
      <c r="AA219" s="80"/>
      <c r="AB219" s="80" t="str">
        <f>IF(OR(studentdata[[#This Row],[Weekend 2025 Enrolled]]="Yes",studentdata[[#This Row],[Evening 2025 Enrolled]]="Yes"),"Yes","")</f>
        <v>Yes</v>
      </c>
    </row>
    <row r="220" spans="1:28" x14ac:dyDescent="0.25">
      <c r="A220" s="80">
        <v>10</v>
      </c>
      <c r="C220" s="67" t="s">
        <v>856</v>
      </c>
      <c r="D220" s="67" t="s">
        <v>68</v>
      </c>
      <c r="E220" s="67" t="s">
        <v>69</v>
      </c>
      <c r="F220" s="67">
        <v>48091</v>
      </c>
      <c r="I220" s="67"/>
      <c r="J220" s="67"/>
      <c r="M220" s="80">
        <v>220</v>
      </c>
      <c r="N220" s="67" t="s">
        <v>857</v>
      </c>
      <c r="O220" s="80">
        <v>138</v>
      </c>
      <c r="P220" s="67" t="s">
        <v>858</v>
      </c>
      <c r="Q220" s="67">
        <v>13134558202</v>
      </c>
      <c r="R220" s="67" t="s">
        <v>859</v>
      </c>
      <c r="S220" s="67">
        <v>15862424587</v>
      </c>
      <c r="T220" s="80" t="s">
        <v>56</v>
      </c>
      <c r="U220" s="80" t="s">
        <v>85</v>
      </c>
      <c r="V220" s="177"/>
      <c r="W220" s="80" t="str">
        <f>IF(OR(studentdata[[#This Row],[Weekend 2025]]&lt;&gt;""),"Yes","")</f>
        <v/>
      </c>
      <c r="X220" s="80"/>
      <c r="Y220" s="80" t="str">
        <f>IF(OR(studentdata[[#This Row],[Evening 2025]]&lt;&gt;""),"Yes","")</f>
        <v/>
      </c>
      <c r="Z220" s="80"/>
      <c r="AA220" s="80"/>
      <c r="AB220" s="80" t="str">
        <f>IF(OR(studentdata[[#This Row],[Weekend 2025 Enrolled]]="Yes",studentdata[[#This Row],[Evening 2025 Enrolled]]="Yes"),"Yes","")</f>
        <v/>
      </c>
    </row>
    <row r="221" spans="1:28" x14ac:dyDescent="0.25">
      <c r="A221" s="80">
        <v>6</v>
      </c>
      <c r="C221" s="67" t="s">
        <v>856</v>
      </c>
      <c r="D221" s="67" t="s">
        <v>68</v>
      </c>
      <c r="E221" s="67" t="s">
        <v>69</v>
      </c>
      <c r="F221" s="67">
        <v>48091</v>
      </c>
      <c r="I221" s="67"/>
      <c r="J221" s="67"/>
      <c r="M221" s="80">
        <v>221</v>
      </c>
      <c r="N221" s="67" t="s">
        <v>1076</v>
      </c>
      <c r="O221" s="80">
        <v>138</v>
      </c>
      <c r="P221" s="67" t="s">
        <v>858</v>
      </c>
      <c r="Q221" s="67">
        <v>13134558202</v>
      </c>
      <c r="R221" s="67" t="s">
        <v>859</v>
      </c>
      <c r="S221" s="67">
        <v>15862424587</v>
      </c>
      <c r="T221" s="80" t="s">
        <v>46</v>
      </c>
      <c r="U221" s="80" t="s">
        <v>57</v>
      </c>
      <c r="V221" s="177"/>
      <c r="W221" s="80" t="str">
        <f>IF(OR(studentdata[[#This Row],[Weekend 2025]]&lt;&gt;""),"Yes","")</f>
        <v/>
      </c>
      <c r="X221" s="80"/>
      <c r="Y221" s="80" t="str">
        <f>IF(OR(studentdata[[#This Row],[Evening 2025]]&lt;&gt;""),"Yes","")</f>
        <v/>
      </c>
      <c r="Z221" s="80"/>
      <c r="AA221" s="80"/>
      <c r="AB221" s="80" t="str">
        <f>IF(OR(studentdata[[#This Row],[Weekend 2025 Enrolled]]="Yes",studentdata[[#This Row],[Evening 2025 Enrolled]]="Yes"),"Yes","")</f>
        <v/>
      </c>
    </row>
    <row r="222" spans="1:28" x14ac:dyDescent="0.25">
      <c r="A222" s="80">
        <v>6</v>
      </c>
      <c r="C222" s="67" t="s">
        <v>860</v>
      </c>
      <c r="D222" s="67" t="s">
        <v>68</v>
      </c>
      <c r="E222" s="67" t="s">
        <v>69</v>
      </c>
      <c r="F222" s="67">
        <v>48093</v>
      </c>
      <c r="I222" s="67"/>
      <c r="J222" s="67"/>
      <c r="M222" s="80">
        <v>222</v>
      </c>
      <c r="N222" s="67" t="s">
        <v>861</v>
      </c>
      <c r="O222" s="80">
        <v>139</v>
      </c>
      <c r="P222" s="67" t="s">
        <v>862</v>
      </c>
      <c r="Q222" s="67">
        <v>15864384211</v>
      </c>
      <c r="R222" s="67" t="s">
        <v>863</v>
      </c>
      <c r="T222" s="80" t="s">
        <v>56</v>
      </c>
      <c r="U222" s="80" t="s">
        <v>57</v>
      </c>
      <c r="V222" s="177"/>
      <c r="W222" s="80" t="str">
        <f>IF(OR(studentdata[[#This Row],[Weekend 2025]]&lt;&gt;""),"Yes","")</f>
        <v/>
      </c>
      <c r="X222" s="80"/>
      <c r="Y222" s="80" t="str">
        <f>IF(OR(studentdata[[#This Row],[Evening 2025]]&lt;&gt;""),"Yes","")</f>
        <v/>
      </c>
      <c r="Z222" s="80"/>
      <c r="AA222" s="80"/>
      <c r="AB222" s="80" t="str">
        <f>IF(OR(studentdata[[#This Row],[Weekend 2025 Enrolled]]="Yes",studentdata[[#This Row],[Evening 2025 Enrolled]]="Yes"),"Yes","")</f>
        <v/>
      </c>
    </row>
    <row r="223" spans="1:28" x14ac:dyDescent="0.25">
      <c r="A223" s="80">
        <v>10</v>
      </c>
      <c r="C223" s="67" t="s">
        <v>291</v>
      </c>
      <c r="D223" s="67" t="s">
        <v>68</v>
      </c>
      <c r="E223" s="67" t="s">
        <v>69</v>
      </c>
      <c r="F223" s="67">
        <v>48092</v>
      </c>
      <c r="I223" s="67"/>
      <c r="J223" s="67"/>
      <c r="M223" s="80">
        <v>223</v>
      </c>
      <c r="N223" s="67" t="s">
        <v>292</v>
      </c>
      <c r="O223" s="80">
        <v>140</v>
      </c>
      <c r="P223" s="67" t="s">
        <v>293</v>
      </c>
      <c r="Q223" s="67">
        <v>12484796100</v>
      </c>
      <c r="R223" s="67" t="s">
        <v>294</v>
      </c>
      <c r="S223" s="67">
        <v>15864827551</v>
      </c>
      <c r="T223" s="80" t="s">
        <v>56</v>
      </c>
      <c r="U223" s="80"/>
      <c r="V223" s="177">
        <v>3</v>
      </c>
      <c r="W223" s="80" t="str">
        <f>IF(OR(studentdata[[#This Row],[Weekend 2025]]&lt;&gt;""),"Yes","")</f>
        <v>Yes</v>
      </c>
      <c r="X223" s="80">
        <v>8</v>
      </c>
      <c r="Y223" s="80" t="str">
        <f>IF(OR(studentdata[[#This Row],[Evening 2025]]&lt;&gt;""),"Yes","")</f>
        <v/>
      </c>
      <c r="Z223" s="80"/>
      <c r="AA223" s="80"/>
      <c r="AB223" s="80" t="str">
        <f>IF(OR(studentdata[[#This Row],[Weekend 2025 Enrolled]]="Yes",studentdata[[#This Row],[Evening 2025 Enrolled]]="Yes"),"Yes","")</f>
        <v>Yes</v>
      </c>
    </row>
    <row r="224" spans="1:28" x14ac:dyDescent="0.25">
      <c r="A224" s="80">
        <v>8</v>
      </c>
      <c r="B224" s="67" t="s">
        <v>239</v>
      </c>
      <c r="C224" s="67" t="s">
        <v>291</v>
      </c>
      <c r="D224" s="67" t="s">
        <v>68</v>
      </c>
      <c r="E224" s="67" t="s">
        <v>69</v>
      </c>
      <c r="F224" s="67">
        <v>48092</v>
      </c>
      <c r="I224" s="67"/>
      <c r="J224" s="67"/>
      <c r="M224" s="80">
        <v>224</v>
      </c>
      <c r="N224" s="67" t="s">
        <v>649</v>
      </c>
      <c r="O224" s="80">
        <v>140</v>
      </c>
      <c r="P224" s="67" t="s">
        <v>293</v>
      </c>
      <c r="Q224" s="67">
        <v>12484796100</v>
      </c>
      <c r="R224" s="67" t="s">
        <v>294</v>
      </c>
      <c r="S224" s="67">
        <v>15864827551</v>
      </c>
      <c r="T224" s="80" t="s">
        <v>46</v>
      </c>
      <c r="U224" s="80" t="s">
        <v>52</v>
      </c>
      <c r="V224" s="177" t="s">
        <v>137</v>
      </c>
      <c r="W224" s="80" t="str">
        <f>IF(OR(studentdata[[#This Row],[Weekend 2025]]&lt;&gt;""),"Yes","")</f>
        <v>Yes</v>
      </c>
      <c r="X224" s="80">
        <v>8</v>
      </c>
      <c r="Y224" s="80" t="str">
        <f>IF(OR(studentdata[[#This Row],[Evening 2025]]&lt;&gt;""),"Yes","")</f>
        <v/>
      </c>
      <c r="Z224" s="80"/>
      <c r="AA224" s="80"/>
      <c r="AB224" s="80" t="str">
        <f>IF(OR(studentdata[[#This Row],[Weekend 2025 Enrolled]]="Yes",studentdata[[#This Row],[Evening 2025 Enrolled]]="Yes"),"Yes","")</f>
        <v>Yes</v>
      </c>
    </row>
    <row r="225" spans="1:28" x14ac:dyDescent="0.25">
      <c r="A225" s="80">
        <v>12</v>
      </c>
      <c r="C225" s="67" t="s">
        <v>1077</v>
      </c>
      <c r="D225" s="67" t="s">
        <v>68</v>
      </c>
      <c r="E225" s="67" t="s">
        <v>69</v>
      </c>
      <c r="F225" s="67">
        <v>48091</v>
      </c>
      <c r="I225" s="67"/>
      <c r="J225" s="67"/>
      <c r="M225" s="80">
        <v>225</v>
      </c>
      <c r="N225" s="67" t="s">
        <v>1078</v>
      </c>
      <c r="O225" s="80">
        <v>141</v>
      </c>
      <c r="P225" s="67" t="s">
        <v>1079</v>
      </c>
      <c r="Q225" s="67">
        <v>15867822718</v>
      </c>
      <c r="R225" s="67" t="s">
        <v>1080</v>
      </c>
      <c r="S225" s="67">
        <v>15867465650</v>
      </c>
      <c r="T225" s="80" t="s">
        <v>46</v>
      </c>
      <c r="U225" s="80" t="s">
        <v>109</v>
      </c>
      <c r="V225" s="177"/>
      <c r="W225" s="80" t="str">
        <f>IF(OR(studentdata[[#This Row],[Weekend 2025]]&lt;&gt;""),"Yes","")</f>
        <v/>
      </c>
      <c r="X225" s="80"/>
      <c r="Y225" s="80" t="str">
        <f>IF(OR(studentdata[[#This Row],[Evening 2025]]&lt;&gt;""),"Yes","")</f>
        <v/>
      </c>
      <c r="Z225" s="80"/>
      <c r="AA225" s="80"/>
      <c r="AB225" s="80" t="str">
        <f>IF(OR(studentdata[[#This Row],[Weekend 2025 Enrolled]]="Yes",studentdata[[#This Row],[Evening 2025 Enrolled]]="Yes"),"Yes","")</f>
        <v/>
      </c>
    </row>
    <row r="226" spans="1:28" x14ac:dyDescent="0.25">
      <c r="A226" s="80">
        <v>11</v>
      </c>
      <c r="C226" s="67" t="s">
        <v>864</v>
      </c>
      <c r="D226" s="67" t="s">
        <v>68</v>
      </c>
      <c r="E226" s="67" t="s">
        <v>69</v>
      </c>
      <c r="F226" s="67">
        <v>48091</v>
      </c>
      <c r="I226" s="67"/>
      <c r="J226" s="67"/>
      <c r="M226" s="80">
        <v>226</v>
      </c>
      <c r="N226" s="67" t="s">
        <v>865</v>
      </c>
      <c r="O226" s="80">
        <v>142</v>
      </c>
      <c r="P226" s="67" t="s">
        <v>866</v>
      </c>
      <c r="Q226" s="67">
        <v>15865715564</v>
      </c>
      <c r="R226" s="67" t="s">
        <v>867</v>
      </c>
      <c r="S226" s="67">
        <v>15865715537</v>
      </c>
      <c r="T226" s="80" t="s">
        <v>56</v>
      </c>
      <c r="U226" s="80" t="s">
        <v>156</v>
      </c>
      <c r="V226" s="177"/>
      <c r="W226" s="80" t="str">
        <f>IF(OR(studentdata[[#This Row],[Weekend 2025]]&lt;&gt;""),"Yes","")</f>
        <v/>
      </c>
      <c r="X226" s="80"/>
      <c r="Y226" s="80" t="str">
        <f>IF(OR(studentdata[[#This Row],[Evening 2025]]&lt;&gt;""),"Yes","")</f>
        <v/>
      </c>
      <c r="Z226" s="80"/>
      <c r="AA226" s="80"/>
      <c r="AB226" s="80" t="str">
        <f>IF(OR(studentdata[[#This Row],[Weekend 2025 Enrolled]]="Yes",studentdata[[#This Row],[Evening 2025 Enrolled]]="Yes"),"Yes","")</f>
        <v/>
      </c>
    </row>
    <row r="227" spans="1:28" x14ac:dyDescent="0.25">
      <c r="A227" s="80">
        <v>7</v>
      </c>
      <c r="C227" s="67" t="s">
        <v>864</v>
      </c>
      <c r="D227" s="67" t="s">
        <v>68</v>
      </c>
      <c r="E227" s="67" t="s">
        <v>69</v>
      </c>
      <c r="F227" s="67">
        <v>48091</v>
      </c>
      <c r="I227" s="67"/>
      <c r="J227" s="67"/>
      <c r="M227" s="80">
        <v>227</v>
      </c>
      <c r="N227" s="67" t="s">
        <v>868</v>
      </c>
      <c r="O227" s="80">
        <v>142</v>
      </c>
      <c r="P227" s="67" t="s">
        <v>866</v>
      </c>
      <c r="Q227" s="67">
        <v>15865715564</v>
      </c>
      <c r="R227" s="67" t="s">
        <v>867</v>
      </c>
      <c r="S227" s="67">
        <v>15865715537</v>
      </c>
      <c r="T227" s="80" t="s">
        <v>56</v>
      </c>
      <c r="U227" s="80" t="s">
        <v>95</v>
      </c>
      <c r="V227" s="177"/>
      <c r="W227" s="80" t="str">
        <f>IF(OR(studentdata[[#This Row],[Weekend 2025]]&lt;&gt;""),"Yes","")</f>
        <v/>
      </c>
      <c r="X227" s="80"/>
      <c r="Y227" s="80" t="str">
        <f>IF(OR(studentdata[[#This Row],[Evening 2025]]&lt;&gt;""),"Yes","")</f>
        <v/>
      </c>
      <c r="Z227" s="80"/>
      <c r="AA227" s="80"/>
      <c r="AB227" s="80" t="str">
        <f>IF(OR(studentdata[[#This Row],[Weekend 2025 Enrolled]]="Yes",studentdata[[#This Row],[Evening 2025 Enrolled]]="Yes"),"Yes","")</f>
        <v/>
      </c>
    </row>
    <row r="228" spans="1:28" x14ac:dyDescent="0.25">
      <c r="A228" s="80">
        <v>10</v>
      </c>
      <c r="C228" s="67" t="s">
        <v>1081</v>
      </c>
      <c r="D228" s="67" t="s">
        <v>68</v>
      </c>
      <c r="E228" s="67" t="s">
        <v>69</v>
      </c>
      <c r="F228" s="67">
        <v>48092</v>
      </c>
      <c r="I228" s="67"/>
      <c r="J228" s="67"/>
      <c r="M228" s="80">
        <v>228</v>
      </c>
      <c r="N228" s="67" t="s">
        <v>1082</v>
      </c>
      <c r="O228" s="80">
        <v>143</v>
      </c>
      <c r="P228" s="67" t="s">
        <v>1083</v>
      </c>
      <c r="Q228" s="67">
        <v>13134232799</v>
      </c>
      <c r="R228" s="67" t="s">
        <v>1084</v>
      </c>
      <c r="S228" s="67">
        <v>13137320159</v>
      </c>
      <c r="T228" s="80" t="s">
        <v>46</v>
      </c>
      <c r="U228" s="80" t="s">
        <v>52</v>
      </c>
      <c r="V228" s="177"/>
      <c r="W228" s="80" t="str">
        <f>IF(OR(studentdata[[#This Row],[Weekend 2025]]&lt;&gt;""),"Yes","")</f>
        <v/>
      </c>
      <c r="X228" s="80"/>
      <c r="Y228" s="80" t="str">
        <f>IF(OR(studentdata[[#This Row],[Evening 2025]]&lt;&gt;""),"Yes","")</f>
        <v/>
      </c>
      <c r="Z228" s="80"/>
      <c r="AA228" s="80"/>
      <c r="AB228" s="80" t="str">
        <f>IF(OR(studentdata[[#This Row],[Weekend 2025 Enrolled]]="Yes",studentdata[[#This Row],[Evening 2025 Enrolled]]="Yes"),"Yes","")</f>
        <v/>
      </c>
    </row>
    <row r="229" spans="1:28" x14ac:dyDescent="0.25">
      <c r="A229" s="80">
        <v>5</v>
      </c>
      <c r="C229" s="67" t="s">
        <v>869</v>
      </c>
      <c r="D229" s="67" t="s">
        <v>68</v>
      </c>
      <c r="E229" s="67" t="s">
        <v>69</v>
      </c>
      <c r="F229" s="67">
        <v>48091</v>
      </c>
      <c r="I229" s="67"/>
      <c r="J229" s="67"/>
      <c r="M229" s="80">
        <v>229</v>
      </c>
      <c r="N229" s="67" t="s">
        <v>870</v>
      </c>
      <c r="O229" s="80">
        <v>144</v>
      </c>
      <c r="P229" s="67" t="s">
        <v>871</v>
      </c>
      <c r="Q229" s="67">
        <v>13136030731</v>
      </c>
      <c r="R229" s="67" t="s">
        <v>872</v>
      </c>
      <c r="S229" s="67">
        <v>13139855863</v>
      </c>
      <c r="T229" s="80" t="s">
        <v>56</v>
      </c>
      <c r="U229" s="80"/>
      <c r="V229" s="177"/>
      <c r="W229" s="80" t="str">
        <f>IF(OR(studentdata[[#This Row],[Weekend 2025]]&lt;&gt;""),"Yes","")</f>
        <v/>
      </c>
      <c r="X229" s="80"/>
      <c r="Y229" s="80" t="str">
        <f>IF(OR(studentdata[[#This Row],[Evening 2025]]&lt;&gt;""),"Yes","")</f>
        <v/>
      </c>
      <c r="Z229" s="80"/>
      <c r="AA229" s="80"/>
      <c r="AB229" s="80" t="str">
        <f>IF(OR(studentdata[[#This Row],[Weekend 2025 Enrolled]]="Yes",studentdata[[#This Row],[Evening 2025 Enrolled]]="Yes"),"Yes","")</f>
        <v/>
      </c>
    </row>
    <row r="230" spans="1:28" x14ac:dyDescent="0.25">
      <c r="A230" s="80">
        <v>9</v>
      </c>
      <c r="C230" s="67" t="s">
        <v>500</v>
      </c>
      <c r="D230" s="67" t="s">
        <v>93</v>
      </c>
      <c r="E230" s="67" t="s">
        <v>69</v>
      </c>
      <c r="F230" s="67">
        <v>48312</v>
      </c>
      <c r="I230" s="67"/>
      <c r="J230" s="67"/>
      <c r="M230" s="80">
        <v>230</v>
      </c>
      <c r="N230" s="67" t="s">
        <v>1085</v>
      </c>
      <c r="O230" s="80">
        <v>145</v>
      </c>
      <c r="P230" s="67" t="s">
        <v>502</v>
      </c>
      <c r="Q230" s="67">
        <v>19176508435</v>
      </c>
      <c r="R230" s="67" t="s">
        <v>503</v>
      </c>
      <c r="T230" s="80" t="s">
        <v>46</v>
      </c>
      <c r="U230" s="80" t="s">
        <v>52</v>
      </c>
      <c r="V230" s="177"/>
      <c r="W230" s="80" t="str">
        <f>IF(OR(studentdata[[#This Row],[Weekend 2025]]&lt;&gt;""),"Yes","")</f>
        <v/>
      </c>
      <c r="X230" s="80"/>
      <c r="Y230" s="80" t="str">
        <f>IF(OR(studentdata[[#This Row],[Evening 2025]]&lt;&gt;""),"Yes","")</f>
        <v/>
      </c>
      <c r="Z230" s="80"/>
      <c r="AA230" s="80"/>
      <c r="AB230" s="80" t="str">
        <f>IF(OR(studentdata[[#This Row],[Weekend 2025 Enrolled]]="Yes",studentdata[[#This Row],[Evening 2025 Enrolled]]="Yes"),"Yes","")</f>
        <v/>
      </c>
    </row>
    <row r="231" spans="1:28" x14ac:dyDescent="0.25">
      <c r="A231" s="80">
        <v>7</v>
      </c>
      <c r="B231" s="67" t="s">
        <v>239</v>
      </c>
      <c r="C231" s="67" t="s">
        <v>500</v>
      </c>
      <c r="D231" s="67" t="s">
        <v>93</v>
      </c>
      <c r="E231" s="67" t="s">
        <v>69</v>
      </c>
      <c r="F231" s="67">
        <v>48312</v>
      </c>
      <c r="I231" s="67"/>
      <c r="J231" s="67"/>
      <c r="M231" s="80">
        <v>231</v>
      </c>
      <c r="N231" s="67" t="s">
        <v>501</v>
      </c>
      <c r="O231" s="80">
        <v>145</v>
      </c>
      <c r="P231" s="67" t="s">
        <v>502</v>
      </c>
      <c r="Q231" s="67">
        <v>19176508435</v>
      </c>
      <c r="R231" s="67" t="s">
        <v>503</v>
      </c>
      <c r="T231" s="80" t="s">
        <v>46</v>
      </c>
      <c r="U231" s="80" t="s">
        <v>57</v>
      </c>
      <c r="V231" s="177">
        <v>2</v>
      </c>
      <c r="W231" s="80" t="str">
        <f>IF(OR(studentdata[[#This Row],[Weekend 2025]]&lt;&gt;""),"Yes","")</f>
        <v>Yes</v>
      </c>
      <c r="X231" s="80">
        <v>1</v>
      </c>
      <c r="Y231" s="80" t="str">
        <f>IF(OR(studentdata[[#This Row],[Evening 2025]]&lt;&gt;""),"Yes","")</f>
        <v/>
      </c>
      <c r="Z231" s="80"/>
      <c r="AA231" s="80"/>
      <c r="AB231" s="80" t="str">
        <f>IF(OR(studentdata[[#This Row],[Weekend 2025 Enrolled]]="Yes",studentdata[[#This Row],[Evening 2025 Enrolled]]="Yes"),"Yes","")</f>
        <v>Yes</v>
      </c>
    </row>
    <row r="232" spans="1:28" x14ac:dyDescent="0.25">
      <c r="A232" s="80">
        <v>11</v>
      </c>
      <c r="C232" s="67" t="s">
        <v>517</v>
      </c>
      <c r="D232" s="67" t="s">
        <v>68</v>
      </c>
      <c r="E232" s="67" t="s">
        <v>69</v>
      </c>
      <c r="F232" s="67">
        <v>48066</v>
      </c>
      <c r="I232" s="67"/>
      <c r="J232" s="67"/>
      <c r="M232" s="80">
        <v>232</v>
      </c>
      <c r="N232" s="67" t="s">
        <v>873</v>
      </c>
      <c r="O232" s="80">
        <v>146</v>
      </c>
      <c r="P232" s="67" t="s">
        <v>519</v>
      </c>
      <c r="Q232" s="67">
        <v>13132907309</v>
      </c>
      <c r="R232" s="67" t="s">
        <v>520</v>
      </c>
      <c r="S232" s="67">
        <v>13132907309</v>
      </c>
      <c r="T232" s="80" t="s">
        <v>56</v>
      </c>
      <c r="U232" s="80"/>
      <c r="V232" s="177"/>
      <c r="W232" s="80" t="str">
        <f>IF(OR(studentdata[[#This Row],[Weekend 2025]]&lt;&gt;""),"Yes","")</f>
        <v/>
      </c>
      <c r="X232" s="80"/>
      <c r="Y232" s="80" t="str">
        <f>IF(OR(studentdata[[#This Row],[Evening 2025]]&lt;&gt;""),"Yes","")</f>
        <v/>
      </c>
      <c r="Z232" s="80"/>
      <c r="AA232" s="80"/>
      <c r="AB232" s="80" t="str">
        <f>IF(OR(studentdata[[#This Row],[Weekend 2025 Enrolled]]="Yes",studentdata[[#This Row],[Evening 2025 Enrolled]]="Yes"),"Yes","")</f>
        <v/>
      </c>
    </row>
    <row r="233" spans="1:28" x14ac:dyDescent="0.25">
      <c r="A233" s="80">
        <v>7</v>
      </c>
      <c r="C233" s="67" t="s">
        <v>517</v>
      </c>
      <c r="D233" s="67" t="s">
        <v>68</v>
      </c>
      <c r="E233" s="67" t="s">
        <v>69</v>
      </c>
      <c r="F233" s="67">
        <v>48066</v>
      </c>
      <c r="I233" s="67"/>
      <c r="J233" s="67"/>
      <c r="M233" s="80">
        <v>233</v>
      </c>
      <c r="N233" s="67" t="s">
        <v>518</v>
      </c>
      <c r="O233" s="80">
        <v>146</v>
      </c>
      <c r="P233" s="67" t="s">
        <v>519</v>
      </c>
      <c r="Q233" s="67">
        <v>13132907309</v>
      </c>
      <c r="R233" s="67" t="s">
        <v>520</v>
      </c>
      <c r="S233" s="67">
        <v>13132907309</v>
      </c>
      <c r="T233" s="80" t="s">
        <v>46</v>
      </c>
      <c r="U233" s="80"/>
      <c r="V233" s="177">
        <v>2</v>
      </c>
      <c r="W233" s="80" t="str">
        <f>IF(OR(studentdata[[#This Row],[Weekend 2025]]&lt;&gt;""),"Yes","")</f>
        <v>Yes</v>
      </c>
      <c r="X233" s="80">
        <v>6</v>
      </c>
      <c r="Y233" s="80" t="str">
        <f>IF(OR(studentdata[[#This Row],[Evening 2025]]&lt;&gt;""),"Yes","")</f>
        <v/>
      </c>
      <c r="Z233" s="80"/>
      <c r="AA233" s="80"/>
      <c r="AB233" s="80" t="str">
        <f>IF(OR(studentdata[[#This Row],[Weekend 2025 Enrolled]]="Yes",studentdata[[#This Row],[Evening 2025 Enrolled]]="Yes"),"Yes","")</f>
        <v>Yes</v>
      </c>
    </row>
    <row r="234" spans="1:28" x14ac:dyDescent="0.25">
      <c r="A234" s="80">
        <v>6</v>
      </c>
      <c r="C234" s="67" t="s">
        <v>874</v>
      </c>
      <c r="D234" s="67" t="s">
        <v>93</v>
      </c>
      <c r="E234" s="67" t="s">
        <v>69</v>
      </c>
      <c r="F234" s="67">
        <v>48310</v>
      </c>
      <c r="I234" s="67"/>
      <c r="J234" s="67"/>
      <c r="M234" s="80">
        <v>234</v>
      </c>
      <c r="N234" s="67" t="s">
        <v>875</v>
      </c>
      <c r="O234" s="80">
        <v>147</v>
      </c>
      <c r="P234" s="67" t="s">
        <v>876</v>
      </c>
      <c r="Q234" s="67">
        <v>13134157094</v>
      </c>
      <c r="R234" s="67" t="s">
        <v>877</v>
      </c>
      <c r="S234" s="67">
        <v>13134093101</v>
      </c>
      <c r="T234" s="80" t="s">
        <v>56</v>
      </c>
      <c r="U234" s="80" t="s">
        <v>57</v>
      </c>
      <c r="V234" s="177"/>
      <c r="W234" s="80" t="str">
        <f>IF(OR(studentdata[[#This Row],[Weekend 2025]]&lt;&gt;""),"Yes","")</f>
        <v/>
      </c>
      <c r="X234" s="80"/>
      <c r="Y234" s="80" t="str">
        <f>IF(OR(studentdata[[#This Row],[Evening 2025]]&lt;&gt;""),"Yes","")</f>
        <v/>
      </c>
      <c r="Z234" s="80"/>
      <c r="AA234" s="80"/>
      <c r="AB234" s="80" t="str">
        <f>IF(OR(studentdata[[#This Row],[Weekend 2025 Enrolled]]="Yes",studentdata[[#This Row],[Evening 2025 Enrolled]]="Yes"),"Yes","")</f>
        <v/>
      </c>
    </row>
    <row r="235" spans="1:28" x14ac:dyDescent="0.25">
      <c r="A235" s="80">
        <v>13</v>
      </c>
      <c r="C235" s="67" t="s">
        <v>1086</v>
      </c>
      <c r="D235" s="67" t="s">
        <v>68</v>
      </c>
      <c r="E235" s="67" t="s">
        <v>69</v>
      </c>
      <c r="F235" s="67">
        <v>48088</v>
      </c>
      <c r="I235" s="67"/>
      <c r="J235" s="67"/>
      <c r="M235" s="80">
        <v>235</v>
      </c>
      <c r="N235" s="67" t="s">
        <v>1087</v>
      </c>
      <c r="O235" s="80">
        <v>148</v>
      </c>
      <c r="P235" s="67" t="s">
        <v>1088</v>
      </c>
      <c r="Q235" s="67">
        <v>13138920384</v>
      </c>
      <c r="R235" s="67" t="s">
        <v>1089</v>
      </c>
      <c r="S235" s="67">
        <v>15864824145</v>
      </c>
      <c r="T235" s="80" t="s">
        <v>46</v>
      </c>
      <c r="U235" s="80" t="s">
        <v>61</v>
      </c>
      <c r="V235" s="177"/>
      <c r="W235" s="80" t="str">
        <f>IF(OR(studentdata[[#This Row],[Weekend 2025]]&lt;&gt;""),"Yes","")</f>
        <v/>
      </c>
      <c r="X235" s="80"/>
      <c r="Y235" s="80" t="str">
        <f>IF(OR(studentdata[[#This Row],[Evening 2025]]&lt;&gt;""),"Yes","")</f>
        <v/>
      </c>
      <c r="Z235" s="80"/>
      <c r="AA235" s="80"/>
      <c r="AB235" s="80" t="str">
        <f>IF(OR(studentdata[[#This Row],[Weekend 2025 Enrolled]]="Yes",studentdata[[#This Row],[Evening 2025 Enrolled]]="Yes"),"Yes","")</f>
        <v/>
      </c>
    </row>
    <row r="236" spans="1:28" x14ac:dyDescent="0.25">
      <c r="A236" s="80">
        <v>14</v>
      </c>
      <c r="B236" s="67" t="s">
        <v>162</v>
      </c>
      <c r="C236" s="67" t="s">
        <v>554</v>
      </c>
      <c r="D236" s="67" t="s">
        <v>68</v>
      </c>
      <c r="E236" s="67" t="s">
        <v>69</v>
      </c>
      <c r="F236" s="67">
        <v>48091</v>
      </c>
      <c r="I236" s="67"/>
      <c r="J236" s="67"/>
      <c r="M236" s="80">
        <v>236</v>
      </c>
      <c r="N236" s="67" t="s">
        <v>555</v>
      </c>
      <c r="O236" s="80">
        <v>149</v>
      </c>
      <c r="P236" s="67" t="s">
        <v>556</v>
      </c>
      <c r="Q236" s="67">
        <v>15864893980</v>
      </c>
      <c r="R236" s="67" t="s">
        <v>557</v>
      </c>
      <c r="T236" s="80" t="s">
        <v>46</v>
      </c>
      <c r="U236" s="80" t="s">
        <v>199</v>
      </c>
      <c r="V236" s="177">
        <v>3</v>
      </c>
      <c r="W236" s="80" t="str">
        <f>IF(OR(studentdata[[#This Row],[Weekend 2025]]&lt;&gt;""),"Yes","")</f>
        <v>Yes</v>
      </c>
      <c r="X236" s="80">
        <v>4</v>
      </c>
      <c r="Y236" s="80" t="str">
        <f>IF(OR(studentdata[[#This Row],[Evening 2025]]&lt;&gt;""),"Yes","")</f>
        <v/>
      </c>
      <c r="Z236" s="80"/>
      <c r="AA236" s="80"/>
      <c r="AB236" s="80" t="str">
        <f>IF(OR(studentdata[[#This Row],[Weekend 2025 Enrolled]]="Yes",studentdata[[#This Row],[Evening 2025 Enrolled]]="Yes"),"Yes","")</f>
        <v>Yes</v>
      </c>
    </row>
    <row r="237" spans="1:28" x14ac:dyDescent="0.25">
      <c r="A237" s="80">
        <v>7</v>
      </c>
      <c r="B237" s="67" t="s">
        <v>45</v>
      </c>
      <c r="C237" s="67" t="s">
        <v>554</v>
      </c>
      <c r="D237" s="67" t="s">
        <v>68</v>
      </c>
      <c r="E237" s="67" t="s">
        <v>69</v>
      </c>
      <c r="F237" s="67">
        <v>48091</v>
      </c>
      <c r="I237" s="67"/>
      <c r="J237" s="67"/>
      <c r="M237" s="80">
        <v>237</v>
      </c>
      <c r="N237" s="67" t="s">
        <v>623</v>
      </c>
      <c r="O237" s="80">
        <v>149</v>
      </c>
      <c r="P237" s="67" t="s">
        <v>556</v>
      </c>
      <c r="Q237" s="67">
        <v>15864893980</v>
      </c>
      <c r="R237" s="67" t="s">
        <v>557</v>
      </c>
      <c r="T237" s="80" t="s">
        <v>46</v>
      </c>
      <c r="U237" s="80" t="s">
        <v>80</v>
      </c>
      <c r="V237" s="177" t="s">
        <v>48</v>
      </c>
      <c r="W237" s="80" t="str">
        <f>IF(OR(studentdata[[#This Row],[Weekend 2025]]&lt;&gt;""),"Yes","")</f>
        <v>Yes</v>
      </c>
      <c r="X237" s="80">
        <v>5</v>
      </c>
      <c r="Y237" s="80" t="str">
        <f>IF(OR(studentdata[[#This Row],[Evening 2025]]&lt;&gt;""),"Yes","")</f>
        <v/>
      </c>
      <c r="Z237" s="80"/>
      <c r="AA237" s="80"/>
      <c r="AB237" s="80" t="str">
        <f>IF(OR(studentdata[[#This Row],[Weekend 2025 Enrolled]]="Yes",studentdata[[#This Row],[Evening 2025 Enrolled]]="Yes"),"Yes","")</f>
        <v>Yes</v>
      </c>
    </row>
    <row r="238" spans="1:28" x14ac:dyDescent="0.25">
      <c r="A238" s="80">
        <v>12</v>
      </c>
      <c r="B238" s="67" t="s">
        <v>162</v>
      </c>
      <c r="C238" s="67" t="s">
        <v>565</v>
      </c>
      <c r="D238" s="67" t="s">
        <v>68</v>
      </c>
      <c r="E238" s="67" t="s">
        <v>69</v>
      </c>
      <c r="F238" s="67">
        <v>48089</v>
      </c>
      <c r="I238" s="67"/>
      <c r="J238" s="67"/>
      <c r="M238" s="80">
        <v>238</v>
      </c>
      <c r="N238" s="67" t="s">
        <v>566</v>
      </c>
      <c r="O238" s="80">
        <v>150</v>
      </c>
      <c r="P238" s="67" t="s">
        <v>567</v>
      </c>
      <c r="Q238" s="67">
        <v>13132293340</v>
      </c>
      <c r="R238" s="67" t="s">
        <v>568</v>
      </c>
      <c r="S238" s="67">
        <v>15864387942</v>
      </c>
      <c r="T238" s="80" t="s">
        <v>46</v>
      </c>
      <c r="U238" s="80" t="s">
        <v>61</v>
      </c>
      <c r="V238" s="177">
        <v>3</v>
      </c>
      <c r="W238" s="80" t="str">
        <f>IF(OR(studentdata[[#This Row],[Weekend 2025]]&lt;&gt;""),"Yes","")</f>
        <v>Yes</v>
      </c>
      <c r="X238" s="80">
        <v>8</v>
      </c>
      <c r="Y238" s="80" t="str">
        <f>IF(OR(studentdata[[#This Row],[Evening 2025]]&lt;&gt;""),"Yes","")</f>
        <v/>
      </c>
      <c r="Z238" s="80"/>
      <c r="AA238" s="80"/>
      <c r="AB238" s="80" t="str">
        <f>IF(OR(studentdata[[#This Row],[Weekend 2025 Enrolled]]="Yes",studentdata[[#This Row],[Evening 2025 Enrolled]]="Yes"),"Yes","")</f>
        <v>Yes</v>
      </c>
    </row>
    <row r="239" spans="1:28" x14ac:dyDescent="0.25">
      <c r="A239" s="80">
        <v>12</v>
      </c>
      <c r="B239" s="67">
        <v>2</v>
      </c>
      <c r="C239" s="67" t="s">
        <v>155</v>
      </c>
      <c r="D239" s="67" t="s">
        <v>68</v>
      </c>
      <c r="E239" s="67" t="s">
        <v>69</v>
      </c>
      <c r="F239" s="67">
        <v>48092</v>
      </c>
      <c r="I239" s="67"/>
      <c r="J239" s="67"/>
      <c r="M239" s="80">
        <v>239</v>
      </c>
      <c r="N239" s="67" t="s">
        <v>152</v>
      </c>
      <c r="O239" s="80">
        <v>151</v>
      </c>
      <c r="P239" s="67" t="s">
        <v>153</v>
      </c>
      <c r="Q239" s="67">
        <v>13136030562</v>
      </c>
      <c r="R239" s="67" t="s">
        <v>154</v>
      </c>
      <c r="S239" s="67">
        <v>13136030562</v>
      </c>
      <c r="T239" s="80" t="s">
        <v>46</v>
      </c>
      <c r="U239" s="80" t="s">
        <v>156</v>
      </c>
      <c r="V239" s="177">
        <v>2</v>
      </c>
      <c r="W239" s="80" t="str">
        <f>IF(OR(studentdata[[#This Row],[Weekend 2025]]&lt;&gt;""),"Yes","")</f>
        <v>Yes</v>
      </c>
      <c r="X239" s="80">
        <v>16</v>
      </c>
      <c r="Y239" s="80" t="str">
        <f>IF(OR(studentdata[[#This Row],[Evening 2025]]&lt;&gt;""),"Yes","")</f>
        <v>Yes</v>
      </c>
      <c r="Z239" s="80">
        <v>4</v>
      </c>
      <c r="AA239" s="80"/>
      <c r="AB239" s="80" t="str">
        <f>IF(OR(studentdata[[#This Row],[Weekend 2025 Enrolled]]="Yes",studentdata[[#This Row],[Evening 2025 Enrolled]]="Yes"),"Yes","")</f>
        <v>Yes</v>
      </c>
    </row>
    <row r="240" spans="1:28" x14ac:dyDescent="0.25">
      <c r="A240" s="80">
        <v>5</v>
      </c>
      <c r="C240" s="67" t="s">
        <v>878</v>
      </c>
      <c r="D240" s="67" t="s">
        <v>93</v>
      </c>
      <c r="E240" s="67" t="s">
        <v>69</v>
      </c>
      <c r="F240" s="67">
        <v>48312</v>
      </c>
      <c r="I240" s="67"/>
      <c r="J240" s="67"/>
      <c r="M240" s="80">
        <v>240</v>
      </c>
      <c r="N240" s="67" t="s">
        <v>879</v>
      </c>
      <c r="O240" s="80">
        <v>152</v>
      </c>
      <c r="P240" s="67" t="s">
        <v>880</v>
      </c>
      <c r="Q240" s="67">
        <v>18478734447</v>
      </c>
      <c r="R240" s="67" t="s">
        <v>881</v>
      </c>
      <c r="S240" s="67">
        <v>13136766939</v>
      </c>
      <c r="T240" s="80" t="s">
        <v>56</v>
      </c>
      <c r="U240" s="80" t="s">
        <v>57</v>
      </c>
      <c r="V240" s="177"/>
      <c r="W240" s="80" t="str">
        <f>IF(OR(studentdata[[#This Row],[Weekend 2025]]&lt;&gt;""),"Yes","")</f>
        <v/>
      </c>
      <c r="X240" s="80"/>
      <c r="Y240" s="80" t="str">
        <f>IF(OR(studentdata[[#This Row],[Evening 2025]]&lt;&gt;""),"Yes","")</f>
        <v/>
      </c>
      <c r="Z240" s="80"/>
      <c r="AA240" s="80"/>
      <c r="AB240" s="80" t="str">
        <f>IF(OR(studentdata[[#This Row],[Weekend 2025 Enrolled]]="Yes",studentdata[[#This Row],[Evening 2025 Enrolled]]="Yes"),"Yes","")</f>
        <v/>
      </c>
    </row>
    <row r="241" spans="1:28" x14ac:dyDescent="0.25">
      <c r="A241" s="80">
        <v>13</v>
      </c>
      <c r="C241" s="67" t="s">
        <v>882</v>
      </c>
      <c r="D241" s="67" t="s">
        <v>68</v>
      </c>
      <c r="E241" s="67" t="s">
        <v>69</v>
      </c>
      <c r="F241" s="67">
        <v>48091</v>
      </c>
      <c r="I241" s="67"/>
      <c r="J241" s="67"/>
      <c r="M241" s="80">
        <v>241</v>
      </c>
      <c r="N241" s="67" t="s">
        <v>883</v>
      </c>
      <c r="O241" s="80">
        <v>153</v>
      </c>
      <c r="P241" s="67" t="s">
        <v>884</v>
      </c>
      <c r="Q241" s="67">
        <v>13135228717</v>
      </c>
      <c r="R241" s="67" t="s">
        <v>885</v>
      </c>
      <c r="S241" s="67">
        <v>15865653120</v>
      </c>
      <c r="T241" s="80" t="s">
        <v>56</v>
      </c>
      <c r="U241" s="80" t="s">
        <v>109</v>
      </c>
      <c r="V241" s="177"/>
      <c r="W241" s="80" t="str">
        <f>IF(OR(studentdata[[#This Row],[Weekend 2025]]&lt;&gt;""),"Yes","")</f>
        <v/>
      </c>
      <c r="X241" s="80"/>
      <c r="Y241" s="80" t="str">
        <f>IF(OR(studentdata[[#This Row],[Evening 2025]]&lt;&gt;""),"Yes","")</f>
        <v/>
      </c>
      <c r="Z241" s="80"/>
      <c r="AA241" s="80"/>
      <c r="AB241" s="80" t="str">
        <f>IF(OR(studentdata[[#This Row],[Weekend 2025 Enrolled]]="Yes",studentdata[[#This Row],[Evening 2025 Enrolled]]="Yes"),"Yes","")</f>
        <v/>
      </c>
    </row>
    <row r="242" spans="1:28" x14ac:dyDescent="0.25">
      <c r="A242" s="80">
        <v>10</v>
      </c>
      <c r="C242" s="67" t="s">
        <v>882</v>
      </c>
      <c r="D242" s="67" t="s">
        <v>68</v>
      </c>
      <c r="E242" s="67" t="s">
        <v>69</v>
      </c>
      <c r="F242" s="67">
        <v>48091</v>
      </c>
      <c r="I242" s="67"/>
      <c r="J242" s="67"/>
      <c r="M242" s="80">
        <v>242</v>
      </c>
      <c r="N242" s="67" t="s">
        <v>886</v>
      </c>
      <c r="O242" s="80">
        <v>153</v>
      </c>
      <c r="P242" s="67" t="s">
        <v>884</v>
      </c>
      <c r="Q242" s="67">
        <v>13135228717</v>
      </c>
      <c r="R242" s="67" t="s">
        <v>885</v>
      </c>
      <c r="S242" s="67">
        <v>15865653120</v>
      </c>
      <c r="T242" s="80" t="s">
        <v>56</v>
      </c>
      <c r="U242" s="80" t="s">
        <v>85</v>
      </c>
      <c r="V242" s="177"/>
      <c r="W242" s="80" t="str">
        <f>IF(OR(studentdata[[#This Row],[Weekend 2025]]&lt;&gt;""),"Yes","")</f>
        <v/>
      </c>
      <c r="X242" s="80"/>
      <c r="Y242" s="80" t="str">
        <f>IF(OR(studentdata[[#This Row],[Evening 2025]]&lt;&gt;""),"Yes","")</f>
        <v/>
      </c>
      <c r="Z242" s="80"/>
      <c r="AA242" s="80"/>
      <c r="AB242" s="80" t="str">
        <f>IF(OR(studentdata[[#This Row],[Weekend 2025 Enrolled]]="Yes",studentdata[[#This Row],[Evening 2025 Enrolled]]="Yes"),"Yes","")</f>
        <v/>
      </c>
    </row>
    <row r="243" spans="1:28" x14ac:dyDescent="0.25">
      <c r="A243" s="80">
        <v>13</v>
      </c>
      <c r="C243" s="67" t="s">
        <v>887</v>
      </c>
      <c r="D243" s="67" t="s">
        <v>93</v>
      </c>
      <c r="E243" s="67" t="s">
        <v>69</v>
      </c>
      <c r="F243" s="67">
        <v>48312</v>
      </c>
      <c r="I243" s="67"/>
      <c r="J243" s="67"/>
      <c r="M243" s="80">
        <v>243</v>
      </c>
      <c r="N243" s="67" t="s">
        <v>888</v>
      </c>
      <c r="O243" s="80">
        <v>154</v>
      </c>
      <c r="P243" s="67" t="s">
        <v>889</v>
      </c>
      <c r="Q243" s="67">
        <v>13136585957</v>
      </c>
      <c r="R243" s="67" t="s">
        <v>890</v>
      </c>
      <c r="S243" s="67">
        <v>13133989917</v>
      </c>
      <c r="T243" s="80" t="s">
        <v>56</v>
      </c>
      <c r="U243" s="80" t="s">
        <v>109</v>
      </c>
      <c r="V243" s="177"/>
      <c r="W243" s="80" t="str">
        <f>IF(OR(studentdata[[#This Row],[Weekend 2025]]&lt;&gt;""),"Yes","")</f>
        <v/>
      </c>
      <c r="X243" s="80"/>
      <c r="Y243" s="80" t="str">
        <f>IF(OR(studentdata[[#This Row],[Evening 2025]]&lt;&gt;""),"Yes","")</f>
        <v/>
      </c>
      <c r="Z243" s="80"/>
      <c r="AA243" s="80"/>
      <c r="AB243" s="80" t="str">
        <f>IF(OR(studentdata[[#This Row],[Weekend 2025 Enrolled]]="Yes",studentdata[[#This Row],[Evening 2025 Enrolled]]="Yes"),"Yes","")</f>
        <v/>
      </c>
    </row>
    <row r="244" spans="1:28" x14ac:dyDescent="0.25">
      <c r="A244" s="80">
        <v>10</v>
      </c>
      <c r="C244" s="67" t="s">
        <v>887</v>
      </c>
      <c r="D244" s="67" t="s">
        <v>93</v>
      </c>
      <c r="E244" s="67" t="s">
        <v>69</v>
      </c>
      <c r="F244" s="67">
        <v>48312</v>
      </c>
      <c r="I244" s="67"/>
      <c r="J244" s="67"/>
      <c r="M244" s="80">
        <v>244</v>
      </c>
      <c r="N244" s="67" t="s">
        <v>1090</v>
      </c>
      <c r="O244" s="80">
        <v>154</v>
      </c>
      <c r="P244" s="67" t="s">
        <v>889</v>
      </c>
      <c r="Q244" s="67">
        <v>13136585957</v>
      </c>
      <c r="R244" s="67" t="s">
        <v>890</v>
      </c>
      <c r="S244" s="67">
        <v>13133989917</v>
      </c>
      <c r="T244" s="80" t="s">
        <v>46</v>
      </c>
      <c r="U244" s="80" t="s">
        <v>85</v>
      </c>
      <c r="V244" s="177"/>
      <c r="W244" s="80" t="str">
        <f>IF(OR(studentdata[[#This Row],[Weekend 2025]]&lt;&gt;""),"Yes","")</f>
        <v/>
      </c>
      <c r="X244" s="80"/>
      <c r="Y244" s="80" t="str">
        <f>IF(OR(studentdata[[#This Row],[Evening 2025]]&lt;&gt;""),"Yes","")</f>
        <v/>
      </c>
      <c r="Z244" s="80"/>
      <c r="AA244" s="80"/>
      <c r="AB244" s="80" t="str">
        <f>IF(OR(studentdata[[#This Row],[Weekend 2025 Enrolled]]="Yes",studentdata[[#This Row],[Evening 2025 Enrolled]]="Yes"),"Yes","")</f>
        <v/>
      </c>
    </row>
    <row r="245" spans="1:28" x14ac:dyDescent="0.25">
      <c r="A245" s="80">
        <v>6</v>
      </c>
      <c r="C245" s="67" t="s">
        <v>398</v>
      </c>
      <c r="D245" s="67" t="s">
        <v>68</v>
      </c>
      <c r="E245" s="67" t="s">
        <v>69</v>
      </c>
      <c r="F245" s="67">
        <v>48091</v>
      </c>
      <c r="I245" s="67"/>
      <c r="J245" s="67"/>
      <c r="M245" s="80">
        <v>245</v>
      </c>
      <c r="N245" s="67" t="s">
        <v>490</v>
      </c>
      <c r="O245" s="80">
        <v>155</v>
      </c>
      <c r="P245" s="67" t="s">
        <v>400</v>
      </c>
      <c r="Q245" s="67">
        <v>15862775882</v>
      </c>
      <c r="R245" s="67" t="s">
        <v>401</v>
      </c>
      <c r="T245" s="80" t="s">
        <v>56</v>
      </c>
      <c r="U245" s="80"/>
      <c r="V245" s="177" t="s">
        <v>142</v>
      </c>
      <c r="W245" s="80" t="str">
        <f>IF(OR(studentdata[[#This Row],[Weekend 2025]]&lt;&gt;""),"Yes","")</f>
        <v>Yes</v>
      </c>
      <c r="X245" s="80">
        <v>12</v>
      </c>
      <c r="Y245" s="80" t="str">
        <f>IF(OR(studentdata[[#This Row],[Evening 2025]]&lt;&gt;""),"Yes","")</f>
        <v/>
      </c>
      <c r="Z245" s="80"/>
      <c r="AA245" s="80"/>
      <c r="AB245" s="80" t="str">
        <f>IF(OR(studentdata[[#This Row],[Weekend 2025 Enrolled]]="Yes",studentdata[[#This Row],[Evening 2025 Enrolled]]="Yes"),"Yes","")</f>
        <v>Yes</v>
      </c>
    </row>
    <row r="246" spans="1:28" x14ac:dyDescent="0.25">
      <c r="A246" s="80">
        <v>5</v>
      </c>
      <c r="C246" s="67" t="s">
        <v>398</v>
      </c>
      <c r="D246" s="67" t="s">
        <v>68</v>
      </c>
      <c r="E246" s="67" t="s">
        <v>69</v>
      </c>
      <c r="F246" s="67">
        <v>48091</v>
      </c>
      <c r="I246" s="67"/>
      <c r="J246" s="67"/>
      <c r="M246" s="80">
        <v>246</v>
      </c>
      <c r="N246" s="67" t="s">
        <v>399</v>
      </c>
      <c r="O246" s="80">
        <v>155</v>
      </c>
      <c r="P246" s="67" t="s">
        <v>400</v>
      </c>
      <c r="Q246" s="67">
        <v>15862775882</v>
      </c>
      <c r="R246" s="67" t="s">
        <v>401</v>
      </c>
      <c r="T246" s="80" t="s">
        <v>56</v>
      </c>
      <c r="U246" s="80"/>
      <c r="V246" s="177" t="s">
        <v>48</v>
      </c>
      <c r="W246" s="80" t="str">
        <f>IF(OR(studentdata[[#This Row],[Weekend 2025]]&lt;&gt;""),"Yes","")</f>
        <v>Yes</v>
      </c>
      <c r="X246" s="80">
        <v>12</v>
      </c>
      <c r="Y246" s="80" t="str">
        <f>IF(OR(studentdata[[#This Row],[Evening 2025]]&lt;&gt;""),"Yes","")</f>
        <v/>
      </c>
      <c r="Z246" s="80"/>
      <c r="AA246" s="80"/>
      <c r="AB246" s="80" t="str">
        <f>IF(OR(studentdata[[#This Row],[Weekend 2025 Enrolled]]="Yes",studentdata[[#This Row],[Evening 2025 Enrolled]]="Yes"),"Yes","")</f>
        <v>Yes</v>
      </c>
    </row>
    <row r="247" spans="1:28" x14ac:dyDescent="0.25">
      <c r="A247" s="80">
        <v>9</v>
      </c>
      <c r="C247" s="67" t="s">
        <v>891</v>
      </c>
      <c r="D247" s="67" t="s">
        <v>68</v>
      </c>
      <c r="E247" s="67" t="s">
        <v>69</v>
      </c>
      <c r="F247" s="67">
        <v>48092</v>
      </c>
      <c r="I247" s="67"/>
      <c r="J247" s="67"/>
      <c r="M247" s="80">
        <v>247</v>
      </c>
      <c r="N247" s="67" t="s">
        <v>892</v>
      </c>
      <c r="O247" s="80">
        <v>156</v>
      </c>
      <c r="P247" s="67" t="s">
        <v>893</v>
      </c>
      <c r="Q247" s="67">
        <v>15863456976</v>
      </c>
      <c r="R247" s="67" t="s">
        <v>894</v>
      </c>
      <c r="S247" s="67">
        <v>15862725191</v>
      </c>
      <c r="T247" s="80" t="s">
        <v>56</v>
      </c>
      <c r="U247" s="80" t="s">
        <v>95</v>
      </c>
      <c r="V247" s="177"/>
      <c r="W247" s="80" t="str">
        <f>IF(OR(studentdata[[#This Row],[Weekend 2025]]&lt;&gt;""),"Yes","")</f>
        <v/>
      </c>
      <c r="X247" s="80"/>
      <c r="Y247" s="80" t="str">
        <f>IF(OR(studentdata[[#This Row],[Evening 2025]]&lt;&gt;""),"Yes","")</f>
        <v/>
      </c>
      <c r="Z247" s="80"/>
      <c r="AA247" s="80"/>
      <c r="AB247" s="80" t="str">
        <f>IF(OR(studentdata[[#This Row],[Weekend 2025 Enrolled]]="Yes",studentdata[[#This Row],[Evening 2025 Enrolled]]="Yes"),"Yes","")</f>
        <v/>
      </c>
    </row>
    <row r="248" spans="1:28" x14ac:dyDescent="0.25">
      <c r="A248" s="80">
        <v>7</v>
      </c>
      <c r="B248" s="67">
        <v>1</v>
      </c>
      <c r="C248" s="67" t="s">
        <v>147</v>
      </c>
      <c r="D248" s="67" t="s">
        <v>68</v>
      </c>
      <c r="E248" s="67" t="s">
        <v>69</v>
      </c>
      <c r="F248" s="67">
        <v>48091</v>
      </c>
      <c r="I248" s="67"/>
      <c r="J248" s="67"/>
      <c r="M248" s="80">
        <v>248</v>
      </c>
      <c r="N248" s="67" t="s">
        <v>144</v>
      </c>
      <c r="O248" s="80">
        <v>157</v>
      </c>
      <c r="P248" s="67" t="s">
        <v>145</v>
      </c>
      <c r="Q248" s="67">
        <v>15866905467</v>
      </c>
      <c r="R248" s="67" t="s">
        <v>146</v>
      </c>
      <c r="S248" s="67">
        <v>15866905471</v>
      </c>
      <c r="T248" s="80" t="s">
        <v>56</v>
      </c>
      <c r="U248" s="80" t="s">
        <v>57</v>
      </c>
      <c r="V248" s="177" t="s">
        <v>142</v>
      </c>
      <c r="W248" s="80" t="str">
        <f>IF(OR(studentdata[[#This Row],[Weekend 2025]]&lt;&gt;""),"Yes","")</f>
        <v>Yes</v>
      </c>
      <c r="X248" s="80">
        <v>15</v>
      </c>
      <c r="Y248" s="80" t="str">
        <f>IF(OR(studentdata[[#This Row],[Evening 2025]]&lt;&gt;""),"Yes","")</f>
        <v>Yes</v>
      </c>
      <c r="Z248" s="80">
        <v>11</v>
      </c>
      <c r="AA248" s="80"/>
      <c r="AB248" s="80" t="str">
        <f>IF(OR(studentdata[[#This Row],[Weekend 2025 Enrolled]]="Yes",studentdata[[#This Row],[Evening 2025 Enrolled]]="Yes"),"Yes","")</f>
        <v>Yes</v>
      </c>
    </row>
    <row r="249" spans="1:28" x14ac:dyDescent="0.25">
      <c r="A249" s="80">
        <v>9</v>
      </c>
      <c r="C249" s="67" t="s">
        <v>895</v>
      </c>
      <c r="D249" s="67" t="s">
        <v>68</v>
      </c>
      <c r="E249" s="67" t="s">
        <v>69</v>
      </c>
      <c r="F249" s="67">
        <v>48092</v>
      </c>
      <c r="G249" s="67">
        <v>0</v>
      </c>
      <c r="H249" s="67">
        <v>0</v>
      </c>
      <c r="I249" s="67">
        <v>0</v>
      </c>
      <c r="J249" s="67">
        <v>0</v>
      </c>
      <c r="K249" s="67">
        <v>0</v>
      </c>
      <c r="L249" s="67">
        <v>0</v>
      </c>
      <c r="M249" s="80">
        <v>249</v>
      </c>
      <c r="N249" s="67" t="s">
        <v>896</v>
      </c>
      <c r="O249" s="80">
        <v>158</v>
      </c>
      <c r="P249" s="67" t="s">
        <v>897</v>
      </c>
      <c r="Q249" s="67">
        <v>19733563877</v>
      </c>
      <c r="R249" s="67" t="s">
        <v>898</v>
      </c>
      <c r="S249" s="67">
        <v>13473351519</v>
      </c>
      <c r="T249" s="80" t="s">
        <v>56</v>
      </c>
      <c r="U249" s="80" t="s">
        <v>52</v>
      </c>
      <c r="V249" s="177"/>
      <c r="W249" s="80" t="str">
        <f>IF(OR(studentdata[[#This Row],[Weekend 2025]]&lt;&gt;""),"Yes","")</f>
        <v/>
      </c>
      <c r="X249" s="80"/>
      <c r="Y249" s="80" t="str">
        <f>IF(OR(studentdata[[#This Row],[Evening 2025]]&lt;&gt;""),"Yes","")</f>
        <v/>
      </c>
      <c r="Z249" s="80"/>
      <c r="AA249" s="80"/>
      <c r="AB249" s="80" t="str">
        <f>IF(OR(studentdata[[#This Row],[Weekend 2025 Enrolled]]="Yes",studentdata[[#This Row],[Evening 2025 Enrolled]]="Yes"),"Yes","")</f>
        <v/>
      </c>
    </row>
    <row r="250" spans="1:28" x14ac:dyDescent="0.25">
      <c r="A250" s="80">
        <v>15</v>
      </c>
      <c r="C250" s="67" t="s">
        <v>709</v>
      </c>
      <c r="D250" s="67" t="s">
        <v>68</v>
      </c>
      <c r="E250" s="67" t="s">
        <v>69</v>
      </c>
      <c r="F250" s="67">
        <v>48091</v>
      </c>
      <c r="G250" s="67">
        <v>0</v>
      </c>
      <c r="H250" s="67">
        <v>0</v>
      </c>
      <c r="I250" s="67">
        <v>0</v>
      </c>
      <c r="J250" s="67">
        <v>0</v>
      </c>
      <c r="K250" s="67">
        <v>0</v>
      </c>
      <c r="L250" s="67">
        <v>0</v>
      </c>
      <c r="M250" s="80">
        <v>250</v>
      </c>
      <c r="N250" s="67" t="s">
        <v>712</v>
      </c>
      <c r="O250" s="80">
        <v>159</v>
      </c>
      <c r="P250" s="67" t="s">
        <v>711</v>
      </c>
      <c r="Q250" s="67">
        <v>15865536572</v>
      </c>
      <c r="R250" s="67" t="s">
        <v>712</v>
      </c>
      <c r="S250" s="67">
        <v>0</v>
      </c>
      <c r="T250" s="80" t="s">
        <v>46</v>
      </c>
      <c r="U250" s="80" t="s">
        <v>190</v>
      </c>
      <c r="V250" s="177">
        <v>4</v>
      </c>
      <c r="W250" s="80" t="str">
        <f>IF(OR(studentdata[[#This Row],[Weekend 2025]]&lt;&gt;""),"Yes","")</f>
        <v/>
      </c>
      <c r="X250" s="80"/>
      <c r="Y250" s="80" t="str">
        <f>IF(OR(studentdata[[#This Row],[Evening 2025]]&lt;&gt;""),"Yes","")</f>
        <v/>
      </c>
      <c r="Z250" s="80"/>
      <c r="AA250" s="80"/>
      <c r="AB250" s="80" t="str">
        <f>IF(OR(studentdata[[#This Row],[Weekend 2025 Enrolled]]="Yes",studentdata[[#This Row],[Evening 2025 Enrolled]]="Yes"),"Yes","")</f>
        <v/>
      </c>
    </row>
    <row r="251" spans="1:28" x14ac:dyDescent="0.25">
      <c r="A251" s="80">
        <v>6</v>
      </c>
      <c r="C251" s="67" t="s">
        <v>709</v>
      </c>
      <c r="D251" s="67" t="s">
        <v>68</v>
      </c>
      <c r="E251" s="67" t="s">
        <v>69</v>
      </c>
      <c r="F251" s="67">
        <v>48091</v>
      </c>
      <c r="G251" s="67">
        <v>0</v>
      </c>
      <c r="H251" s="67">
        <v>0</v>
      </c>
      <c r="I251" s="67">
        <v>0</v>
      </c>
      <c r="J251" s="67">
        <v>0</v>
      </c>
      <c r="K251" s="67">
        <v>0</v>
      </c>
      <c r="L251" s="67">
        <v>0</v>
      </c>
      <c r="M251" s="80">
        <v>251</v>
      </c>
      <c r="N251" s="67" t="s">
        <v>710</v>
      </c>
      <c r="O251" s="80">
        <v>159</v>
      </c>
      <c r="P251" s="67" t="s">
        <v>711</v>
      </c>
      <c r="Q251" s="67">
        <v>15865536572</v>
      </c>
      <c r="R251" s="67" t="s">
        <v>712</v>
      </c>
      <c r="S251" s="67">
        <v>0</v>
      </c>
      <c r="T251" s="80" t="s">
        <v>56</v>
      </c>
      <c r="U251" s="80" t="s">
        <v>95</v>
      </c>
      <c r="V251" s="177">
        <v>2</v>
      </c>
      <c r="W251" s="80" t="str">
        <f>IF(OR(studentdata[[#This Row],[Weekend 2025]]&lt;&gt;""),"Yes","")</f>
        <v/>
      </c>
      <c r="X251" s="80"/>
      <c r="Y251" s="80" t="str">
        <f>IF(OR(studentdata[[#This Row],[Evening 2025]]&lt;&gt;""),"Yes","")</f>
        <v/>
      </c>
      <c r="Z251" s="80"/>
      <c r="AA251" s="80"/>
      <c r="AB251" s="80" t="str">
        <f>IF(OR(studentdata[[#This Row],[Weekend 2025 Enrolled]]="Yes",studentdata[[#This Row],[Evening 2025 Enrolled]]="Yes"),"Yes","")</f>
        <v/>
      </c>
    </row>
    <row r="252" spans="1:28" x14ac:dyDescent="0.25">
      <c r="A252" s="80">
        <v>13</v>
      </c>
      <c r="C252" s="67" t="s">
        <v>1091</v>
      </c>
      <c r="D252" s="67" t="s">
        <v>68</v>
      </c>
      <c r="E252" s="67" t="s">
        <v>69</v>
      </c>
      <c r="F252" s="67">
        <v>48092</v>
      </c>
      <c r="G252" s="67" t="s">
        <v>1092</v>
      </c>
      <c r="H252" s="67">
        <v>0</v>
      </c>
      <c r="I252" s="67">
        <v>0</v>
      </c>
      <c r="J252" s="67">
        <v>0</v>
      </c>
      <c r="K252" s="67">
        <v>0</v>
      </c>
      <c r="L252" s="67">
        <v>0</v>
      </c>
      <c r="M252" s="80">
        <v>252</v>
      </c>
      <c r="N252" s="67" t="s">
        <v>1093</v>
      </c>
      <c r="O252" s="80">
        <v>160</v>
      </c>
      <c r="P252" s="67" t="s">
        <v>1094</v>
      </c>
      <c r="R252" s="67" t="s">
        <v>1095</v>
      </c>
      <c r="S252" s="67">
        <v>0</v>
      </c>
      <c r="T252" s="80" t="s">
        <v>46</v>
      </c>
      <c r="U252" s="80" t="s">
        <v>109</v>
      </c>
      <c r="V252" s="177"/>
      <c r="W252" s="80" t="str">
        <f>IF(OR(studentdata[[#This Row],[Weekend 2025]]&lt;&gt;""),"Yes","")</f>
        <v/>
      </c>
      <c r="X252" s="80"/>
      <c r="Y252" s="80" t="str">
        <f>IF(OR(studentdata[[#This Row],[Evening 2025]]&lt;&gt;""),"Yes","")</f>
        <v/>
      </c>
      <c r="Z252" s="80"/>
      <c r="AA252" s="80"/>
      <c r="AB252" s="80" t="str">
        <f>IF(OR(studentdata[[#This Row],[Weekend 2025 Enrolled]]="Yes",studentdata[[#This Row],[Evening 2025 Enrolled]]="Yes"),"Yes","")</f>
        <v/>
      </c>
    </row>
    <row r="253" spans="1:28" x14ac:dyDescent="0.25">
      <c r="A253" s="80">
        <v>12</v>
      </c>
      <c r="C253" s="67" t="s">
        <v>294</v>
      </c>
      <c r="D253" s="67" t="s">
        <v>68</v>
      </c>
      <c r="E253" s="67" t="s">
        <v>69</v>
      </c>
      <c r="F253" s="67">
        <v>10000</v>
      </c>
      <c r="G253" s="67">
        <v>0</v>
      </c>
      <c r="H253" s="67">
        <v>0</v>
      </c>
      <c r="I253" s="67">
        <v>0</v>
      </c>
      <c r="J253" s="67">
        <v>0</v>
      </c>
      <c r="K253" s="67">
        <v>0</v>
      </c>
      <c r="L253" s="67">
        <v>0</v>
      </c>
      <c r="M253" s="80">
        <v>253</v>
      </c>
      <c r="N253" s="67" t="s">
        <v>1096</v>
      </c>
      <c r="O253" s="80">
        <v>161</v>
      </c>
      <c r="P253" s="67" t="s">
        <v>294</v>
      </c>
      <c r="Q253" s="67">
        <v>13136030289</v>
      </c>
      <c r="R253" s="67" t="s">
        <v>1097</v>
      </c>
      <c r="S253" s="67">
        <v>0</v>
      </c>
      <c r="T253" s="80" t="s">
        <v>46</v>
      </c>
      <c r="U253" s="80" t="s">
        <v>109</v>
      </c>
      <c r="V253" s="177"/>
      <c r="W253" s="80" t="str">
        <f>IF(OR(studentdata[[#This Row],[Weekend 2025]]&lt;&gt;""),"Yes","")</f>
        <v/>
      </c>
      <c r="X253" s="80"/>
      <c r="Y253" s="80" t="str">
        <f>IF(OR(studentdata[[#This Row],[Evening 2025]]&lt;&gt;""),"Yes","")</f>
        <v/>
      </c>
      <c r="Z253" s="80"/>
      <c r="AA253" s="80"/>
      <c r="AB253" s="80" t="str">
        <f>IF(OR(studentdata[[#This Row],[Weekend 2025 Enrolled]]="Yes",studentdata[[#This Row],[Evening 2025 Enrolled]]="Yes"),"Yes","")</f>
        <v/>
      </c>
    </row>
    <row r="254" spans="1:28" x14ac:dyDescent="0.25">
      <c r="A254" s="80">
        <v>13</v>
      </c>
      <c r="C254" s="67" t="s">
        <v>347</v>
      </c>
      <c r="D254" s="67" t="s">
        <v>68</v>
      </c>
      <c r="E254" s="67" t="s">
        <v>69</v>
      </c>
      <c r="F254" s="67">
        <v>48091</v>
      </c>
      <c r="G254" s="67">
        <v>0</v>
      </c>
      <c r="H254" s="67">
        <v>0</v>
      </c>
      <c r="I254" s="67">
        <v>0</v>
      </c>
      <c r="J254" s="67">
        <v>0</v>
      </c>
      <c r="K254" s="67">
        <v>0</v>
      </c>
      <c r="L254" s="67">
        <v>0</v>
      </c>
      <c r="M254" s="80">
        <v>254</v>
      </c>
      <c r="N254" s="67" t="s">
        <v>348</v>
      </c>
      <c r="O254" s="80">
        <v>162</v>
      </c>
      <c r="P254" s="67" t="s">
        <v>349</v>
      </c>
      <c r="Q254" s="67">
        <v>13133498343</v>
      </c>
      <c r="R254" s="67" t="s">
        <v>350</v>
      </c>
      <c r="S254" s="67">
        <v>0</v>
      </c>
      <c r="T254" s="80" t="s">
        <v>56</v>
      </c>
      <c r="U254" s="80" t="s">
        <v>199</v>
      </c>
      <c r="V254" s="177">
        <v>4</v>
      </c>
      <c r="W254" s="80" t="str">
        <f>IF(OR(studentdata[[#This Row],[Weekend 2025]]&lt;&gt;""),"Yes","")</f>
        <v>Yes</v>
      </c>
      <c r="X254" s="80">
        <v>8</v>
      </c>
      <c r="Y254" s="80" t="str">
        <f>IF(OR(studentdata[[#This Row],[Evening 2025]]&lt;&gt;""),"Yes","")</f>
        <v/>
      </c>
      <c r="Z254" s="80"/>
      <c r="AA254" s="80"/>
      <c r="AB254" s="80" t="str">
        <f>IF(OR(studentdata[[#This Row],[Weekend 2025 Enrolled]]="Yes",studentdata[[#This Row],[Evening 2025 Enrolled]]="Yes"),"Yes","")</f>
        <v>Yes</v>
      </c>
    </row>
    <row r="255" spans="1:28" x14ac:dyDescent="0.25">
      <c r="A255" s="80">
        <v>9</v>
      </c>
      <c r="B255" s="67">
        <v>2</v>
      </c>
      <c r="C255" s="67" t="s">
        <v>542</v>
      </c>
      <c r="D255" s="67" t="s">
        <v>68</v>
      </c>
      <c r="E255" s="67" t="s">
        <v>69</v>
      </c>
      <c r="F255" s="67">
        <v>48091</v>
      </c>
      <c r="G255" s="67">
        <v>0</v>
      </c>
      <c r="H255" s="67">
        <v>0</v>
      </c>
      <c r="I255" s="67">
        <v>0</v>
      </c>
      <c r="J255" s="67">
        <v>0</v>
      </c>
      <c r="K255" s="67">
        <v>0</v>
      </c>
      <c r="L255" s="67">
        <v>0</v>
      </c>
      <c r="M255" s="80">
        <v>255</v>
      </c>
      <c r="N255" s="67" t="s">
        <v>543</v>
      </c>
      <c r="O255" s="80">
        <v>163</v>
      </c>
      <c r="P255" s="67" t="s">
        <v>544</v>
      </c>
      <c r="Q255" s="67">
        <v>19472772279</v>
      </c>
      <c r="R255" s="67" t="s">
        <v>545</v>
      </c>
      <c r="T255" s="80" t="s">
        <v>46</v>
      </c>
      <c r="U255" s="80" t="s">
        <v>52</v>
      </c>
      <c r="V255" s="177">
        <v>2</v>
      </c>
      <c r="W255" s="80" t="str">
        <f>IF(OR(studentdata[[#This Row],[Weekend 2025]]&lt;&gt;""),"Yes","")</f>
        <v>Yes</v>
      </c>
      <c r="X255" s="80">
        <v>15</v>
      </c>
      <c r="Y255" s="80" t="str">
        <f>IF(OR(studentdata[[#This Row],[Evening 2025]]&lt;&gt;""),"Yes","")</f>
        <v/>
      </c>
      <c r="Z255" s="80"/>
      <c r="AA255" s="80"/>
      <c r="AB255" s="80" t="str">
        <f>IF(OR(studentdata[[#This Row],[Weekend 2025 Enrolled]]="Yes",studentdata[[#This Row],[Evening 2025 Enrolled]]="Yes"),"Yes","")</f>
        <v>Yes</v>
      </c>
    </row>
    <row r="256" spans="1:28" x14ac:dyDescent="0.25">
      <c r="A256" s="80">
        <v>11</v>
      </c>
      <c r="C256" s="67" t="s">
        <v>216</v>
      </c>
      <c r="D256" s="67" t="s">
        <v>68</v>
      </c>
      <c r="E256" s="67" t="s">
        <v>69</v>
      </c>
      <c r="F256" s="67">
        <v>48091</v>
      </c>
      <c r="G256" s="67" t="s">
        <v>217</v>
      </c>
      <c r="H256" s="67">
        <v>0</v>
      </c>
      <c r="I256" s="67">
        <v>0</v>
      </c>
      <c r="J256" s="67">
        <v>0</v>
      </c>
      <c r="K256" s="67">
        <v>0</v>
      </c>
      <c r="L256" s="67">
        <v>0</v>
      </c>
      <c r="M256" s="80">
        <v>256</v>
      </c>
      <c r="N256" s="67" t="s">
        <v>346</v>
      </c>
      <c r="O256" s="80">
        <v>164</v>
      </c>
      <c r="P256" s="67" t="s">
        <v>219</v>
      </c>
      <c r="Q256" s="67">
        <v>14046656720</v>
      </c>
      <c r="R256" s="67" t="s">
        <v>220</v>
      </c>
      <c r="S256" s="67">
        <v>14045108026</v>
      </c>
      <c r="T256" s="80" t="s">
        <v>56</v>
      </c>
      <c r="U256" s="80" t="s">
        <v>156</v>
      </c>
      <c r="V256" s="177">
        <v>4</v>
      </c>
      <c r="W256" s="80" t="str">
        <f>IF(OR(studentdata[[#This Row],[Weekend 2025]]&lt;&gt;""),"Yes","")</f>
        <v>Yes</v>
      </c>
      <c r="X256" s="80">
        <v>7</v>
      </c>
      <c r="Y256" s="80" t="str">
        <f>IF(OR(studentdata[[#This Row],[Evening 2025]]&lt;&gt;""),"Yes","")</f>
        <v/>
      </c>
      <c r="Z256" s="80"/>
      <c r="AA256" s="80"/>
      <c r="AB256" s="80" t="str">
        <f>IF(OR(studentdata[[#This Row],[Weekend 2025 Enrolled]]="Yes",studentdata[[#This Row],[Evening 2025 Enrolled]]="Yes"),"Yes","")</f>
        <v>Yes</v>
      </c>
    </row>
    <row r="257" spans="1:28" x14ac:dyDescent="0.25">
      <c r="A257" s="80">
        <v>7</v>
      </c>
      <c r="C257" s="67" t="s">
        <v>216</v>
      </c>
      <c r="D257" s="67" t="s">
        <v>68</v>
      </c>
      <c r="E257" s="67" t="s">
        <v>69</v>
      </c>
      <c r="F257" s="67">
        <v>48091</v>
      </c>
      <c r="G257" s="67" t="s">
        <v>217</v>
      </c>
      <c r="H257" s="67">
        <v>0</v>
      </c>
      <c r="I257" s="67">
        <v>0</v>
      </c>
      <c r="J257" s="67">
        <v>0</v>
      </c>
      <c r="K257" s="67">
        <v>0</v>
      </c>
      <c r="L257" s="67">
        <v>0</v>
      </c>
      <c r="M257" s="80">
        <v>257</v>
      </c>
      <c r="N257" s="67" t="s">
        <v>218</v>
      </c>
      <c r="O257" s="80">
        <v>164</v>
      </c>
      <c r="P257" s="67" t="s">
        <v>219</v>
      </c>
      <c r="Q257" s="67">
        <v>14046656720</v>
      </c>
      <c r="R257" s="67" t="s">
        <v>220</v>
      </c>
      <c r="S257" s="67">
        <v>14045108026</v>
      </c>
      <c r="T257" s="80" t="s">
        <v>56</v>
      </c>
      <c r="U257" s="80" t="s">
        <v>95</v>
      </c>
      <c r="V257" s="177">
        <v>2</v>
      </c>
      <c r="W257" s="80" t="str">
        <f>IF(OR(studentdata[[#This Row],[Weekend 2025]]&lt;&gt;""),"Yes","")</f>
        <v>Yes</v>
      </c>
      <c r="X257" s="80">
        <v>6</v>
      </c>
      <c r="Y257" s="80" t="str">
        <f>IF(OR(studentdata[[#This Row],[Evening 2025]]&lt;&gt;""),"Yes","")</f>
        <v/>
      </c>
      <c r="Z257" s="80"/>
      <c r="AA257" s="80"/>
      <c r="AB257" s="80" t="str">
        <f>IF(OR(studentdata[[#This Row],[Weekend 2025 Enrolled]]="Yes",studentdata[[#This Row],[Evening 2025 Enrolled]]="Yes"),"Yes","")</f>
        <v>Yes</v>
      </c>
    </row>
    <row r="258" spans="1:28" x14ac:dyDescent="0.25">
      <c r="A258" s="80">
        <v>10</v>
      </c>
      <c r="B258" s="67">
        <v>3</v>
      </c>
      <c r="C258" s="67" t="s">
        <v>84</v>
      </c>
      <c r="D258" s="67" t="s">
        <v>68</v>
      </c>
      <c r="E258" s="67" t="s">
        <v>69</v>
      </c>
      <c r="F258" s="67">
        <v>48091</v>
      </c>
      <c r="G258" s="67">
        <v>0</v>
      </c>
      <c r="H258" s="67">
        <v>0</v>
      </c>
      <c r="I258" s="67">
        <v>0</v>
      </c>
      <c r="J258" s="67">
        <v>0</v>
      </c>
      <c r="K258" s="67">
        <v>0</v>
      </c>
      <c r="L258" s="67">
        <v>0</v>
      </c>
      <c r="M258" s="80">
        <v>258</v>
      </c>
      <c r="N258" s="67" t="s">
        <v>81</v>
      </c>
      <c r="O258" s="80">
        <v>165</v>
      </c>
      <c r="P258" s="67" t="s">
        <v>82</v>
      </c>
      <c r="Q258" s="67">
        <v>12488259977</v>
      </c>
      <c r="R258" s="67" t="s">
        <v>83</v>
      </c>
      <c r="S258" s="67">
        <v>13134458008</v>
      </c>
      <c r="T258" s="80" t="s">
        <v>56</v>
      </c>
      <c r="U258" s="80" t="s">
        <v>85</v>
      </c>
      <c r="V258" s="177"/>
      <c r="W258" s="80" t="str">
        <f>IF(OR(studentdata[[#This Row],[Weekend 2025]]&lt;&gt;""),"Yes","")</f>
        <v/>
      </c>
      <c r="X258" s="80"/>
      <c r="Y258" s="80" t="str">
        <f>IF(OR(studentdata[[#This Row],[Evening 2025]]&lt;&gt;""),"Yes","")</f>
        <v>Yes</v>
      </c>
      <c r="Z258" s="80">
        <v>1</v>
      </c>
      <c r="AA258" s="80"/>
      <c r="AB258" s="80" t="str">
        <f>IF(OR(studentdata[[#This Row],[Weekend 2025 Enrolled]]="Yes",studentdata[[#This Row],[Evening 2025 Enrolled]]="Yes"),"Yes","")</f>
        <v>Yes</v>
      </c>
    </row>
    <row r="259" spans="1:28" x14ac:dyDescent="0.25">
      <c r="A259" s="80">
        <v>7</v>
      </c>
      <c r="C259" s="67" t="s">
        <v>84</v>
      </c>
      <c r="D259" s="67" t="s">
        <v>68</v>
      </c>
      <c r="E259" s="67" t="s">
        <v>69</v>
      </c>
      <c r="F259" s="67">
        <v>48091</v>
      </c>
      <c r="G259" s="67">
        <v>0</v>
      </c>
      <c r="H259" s="67">
        <v>0</v>
      </c>
      <c r="I259" s="67">
        <v>0</v>
      </c>
      <c r="J259" s="67">
        <v>0</v>
      </c>
      <c r="K259" s="67">
        <v>0</v>
      </c>
      <c r="L259" s="67">
        <v>0</v>
      </c>
      <c r="M259" s="80">
        <v>259</v>
      </c>
      <c r="N259" s="67" t="s">
        <v>1098</v>
      </c>
      <c r="O259" s="80">
        <v>165</v>
      </c>
      <c r="P259" s="67" t="s">
        <v>82</v>
      </c>
      <c r="Q259" s="67">
        <v>12488259977</v>
      </c>
      <c r="R259" s="67" t="s">
        <v>83</v>
      </c>
      <c r="S259" s="67">
        <v>13134458008</v>
      </c>
      <c r="T259" s="80" t="s">
        <v>46</v>
      </c>
      <c r="U259" s="80" t="s">
        <v>95</v>
      </c>
      <c r="V259" s="177"/>
      <c r="W259" s="80" t="str">
        <f>IF(OR(studentdata[[#This Row],[Weekend 2025]]&lt;&gt;""),"Yes","")</f>
        <v/>
      </c>
      <c r="X259" s="80"/>
      <c r="Y259" s="80" t="str">
        <f>IF(OR(studentdata[[#This Row],[Evening 2025]]&lt;&gt;""),"Yes","")</f>
        <v/>
      </c>
      <c r="Z259" s="80"/>
      <c r="AA259" s="80"/>
      <c r="AB259" s="80" t="str">
        <f>IF(OR(studentdata[[#This Row],[Weekend 2025 Enrolled]]="Yes",studentdata[[#This Row],[Evening 2025 Enrolled]]="Yes"),"Yes","")</f>
        <v/>
      </c>
    </row>
    <row r="260" spans="1:28" x14ac:dyDescent="0.25">
      <c r="A260" s="80">
        <v>14</v>
      </c>
      <c r="B260" s="67">
        <v>2</v>
      </c>
      <c r="C260" s="67" t="s">
        <v>1099</v>
      </c>
      <c r="D260" s="67" t="s">
        <v>68</v>
      </c>
      <c r="E260" s="67" t="s">
        <v>69</v>
      </c>
      <c r="F260" s="67">
        <v>48091</v>
      </c>
      <c r="G260" s="67">
        <v>0</v>
      </c>
      <c r="H260" s="67">
        <v>0</v>
      </c>
      <c r="I260" s="67">
        <v>0</v>
      </c>
      <c r="J260" s="67">
        <v>0</v>
      </c>
      <c r="K260" s="67">
        <v>0</v>
      </c>
      <c r="L260" s="67">
        <v>0</v>
      </c>
      <c r="M260" s="80">
        <v>260</v>
      </c>
      <c r="N260" s="67" t="s">
        <v>1100</v>
      </c>
      <c r="O260" s="80">
        <v>166</v>
      </c>
      <c r="P260" s="67" t="s">
        <v>1101</v>
      </c>
      <c r="Q260" s="67">
        <v>13138708731</v>
      </c>
      <c r="R260" s="67" t="s">
        <v>1102</v>
      </c>
      <c r="S260" s="67">
        <v>13134240387</v>
      </c>
      <c r="T260" s="80" t="s">
        <v>46</v>
      </c>
      <c r="U260" s="80" t="s">
        <v>109</v>
      </c>
      <c r="V260" s="177"/>
      <c r="W260" s="80" t="str">
        <f>IF(OR(studentdata[[#This Row],[Weekend 2025]]&lt;&gt;""),"Yes","")</f>
        <v/>
      </c>
      <c r="X260" s="80"/>
      <c r="Y260" s="80" t="str">
        <f>IF(OR(studentdata[[#This Row],[Evening 2025]]&lt;&gt;""),"Yes","")</f>
        <v/>
      </c>
      <c r="Z260" s="80"/>
      <c r="AA260" s="80"/>
      <c r="AB260" s="80" t="str">
        <f>IF(OR(studentdata[[#This Row],[Weekend 2025 Enrolled]]="Yes",studentdata[[#This Row],[Evening 2025 Enrolled]]="Yes"),"Yes","")</f>
        <v/>
      </c>
    </row>
    <row r="261" spans="1:28" x14ac:dyDescent="0.25">
      <c r="A261" s="80">
        <v>14</v>
      </c>
      <c r="B261" s="67">
        <v>2</v>
      </c>
      <c r="C261" s="67" t="s">
        <v>1099</v>
      </c>
      <c r="D261" s="67" t="s">
        <v>68</v>
      </c>
      <c r="E261" s="67" t="s">
        <v>69</v>
      </c>
      <c r="F261" s="67">
        <v>48091</v>
      </c>
      <c r="G261" s="67">
        <v>0</v>
      </c>
      <c r="H261" s="67">
        <v>0</v>
      </c>
      <c r="I261" s="67">
        <v>0</v>
      </c>
      <c r="J261" s="67">
        <v>0</v>
      </c>
      <c r="K261" s="67">
        <v>0</v>
      </c>
      <c r="L261" s="67">
        <v>0</v>
      </c>
      <c r="M261" s="80">
        <v>261</v>
      </c>
      <c r="N261" s="67" t="s">
        <v>1103</v>
      </c>
      <c r="O261" s="80">
        <v>166</v>
      </c>
      <c r="P261" s="67" t="s">
        <v>1101</v>
      </c>
      <c r="Q261" s="67">
        <v>13138708731</v>
      </c>
      <c r="R261" s="67" t="s">
        <v>1102</v>
      </c>
      <c r="S261" s="67">
        <v>13134240387</v>
      </c>
      <c r="T261" s="80" t="s">
        <v>46</v>
      </c>
      <c r="U261" s="80" t="s">
        <v>109</v>
      </c>
      <c r="V261" s="177"/>
      <c r="W261" s="80" t="str">
        <f>IF(OR(studentdata[[#This Row],[Weekend 2025]]&lt;&gt;""),"Yes","")</f>
        <v/>
      </c>
      <c r="X261" s="80"/>
      <c r="Y261" s="80" t="str">
        <f>IF(OR(studentdata[[#This Row],[Evening 2025]]&lt;&gt;""),"Yes","")</f>
        <v/>
      </c>
      <c r="Z261" s="80"/>
      <c r="AA261" s="80"/>
      <c r="AB261" s="80" t="str">
        <f>IF(OR(studentdata[[#This Row],[Weekend 2025 Enrolled]]="Yes",studentdata[[#This Row],[Evening 2025 Enrolled]]="Yes"),"Yes","")</f>
        <v/>
      </c>
    </row>
    <row r="262" spans="1:28" x14ac:dyDescent="0.25">
      <c r="A262" s="80">
        <v>9</v>
      </c>
      <c r="C262" s="67" t="s">
        <v>504</v>
      </c>
      <c r="D262" s="67" t="s">
        <v>505</v>
      </c>
      <c r="E262" s="67" t="s">
        <v>69</v>
      </c>
      <c r="F262" s="67">
        <v>48015</v>
      </c>
      <c r="G262" s="67" t="s">
        <v>506</v>
      </c>
      <c r="H262" s="67">
        <v>0</v>
      </c>
      <c r="I262" s="67">
        <v>0</v>
      </c>
      <c r="J262" s="67">
        <v>0</v>
      </c>
      <c r="K262" s="67">
        <v>0</v>
      </c>
      <c r="L262" s="67">
        <v>0</v>
      </c>
      <c r="M262" s="80">
        <v>262</v>
      </c>
      <c r="N262" s="67" t="s">
        <v>507</v>
      </c>
      <c r="O262" s="80">
        <v>167</v>
      </c>
      <c r="P262" s="67" t="s">
        <v>508</v>
      </c>
      <c r="Q262" s="67">
        <v>12133577649</v>
      </c>
      <c r="R262" s="67" t="s">
        <v>509</v>
      </c>
      <c r="S262" s="67">
        <v>12135488843</v>
      </c>
      <c r="T262" s="80" t="s">
        <v>46</v>
      </c>
      <c r="U262" s="80" t="s">
        <v>52</v>
      </c>
      <c r="V262" s="177">
        <v>2</v>
      </c>
      <c r="W262" s="80" t="str">
        <f>IF(OR(studentdata[[#This Row],[Weekend 2025]]&lt;&gt;""),"Yes","")</f>
        <v>Yes</v>
      </c>
      <c r="X262" s="80">
        <v>2</v>
      </c>
      <c r="Y262" s="80" t="str">
        <f>IF(OR(studentdata[[#This Row],[Evening 2025]]&lt;&gt;""),"Yes","")</f>
        <v/>
      </c>
      <c r="Z262" s="80"/>
      <c r="AA262" s="80"/>
      <c r="AB262" s="80" t="str">
        <f>IF(OR(studentdata[[#This Row],[Weekend 2025 Enrolled]]="Yes",studentdata[[#This Row],[Evening 2025 Enrolled]]="Yes"),"Yes","")</f>
        <v>Yes</v>
      </c>
    </row>
    <row r="263" spans="1:28" x14ac:dyDescent="0.25">
      <c r="A263" s="80">
        <v>6</v>
      </c>
      <c r="C263" s="67" t="s">
        <v>244</v>
      </c>
      <c r="D263" s="67" t="s">
        <v>68</v>
      </c>
      <c r="E263" s="67" t="s">
        <v>69</v>
      </c>
      <c r="F263" s="67">
        <v>48091</v>
      </c>
      <c r="G263" s="67">
        <v>0</v>
      </c>
      <c r="H263" s="67">
        <v>0</v>
      </c>
      <c r="I263" s="67">
        <v>0</v>
      </c>
      <c r="J263" s="67">
        <v>0</v>
      </c>
      <c r="K263" s="67">
        <v>0</v>
      </c>
      <c r="L263" s="67">
        <v>0</v>
      </c>
      <c r="M263" s="80">
        <v>263</v>
      </c>
      <c r="N263" s="67" t="s">
        <v>245</v>
      </c>
      <c r="O263" s="80">
        <v>168</v>
      </c>
      <c r="P263" s="67" t="s">
        <v>246</v>
      </c>
      <c r="Q263" s="67">
        <v>12033852703</v>
      </c>
      <c r="R263" s="67" t="s">
        <v>247</v>
      </c>
      <c r="S263" s="67">
        <v>0</v>
      </c>
      <c r="T263" s="80" t="s">
        <v>56</v>
      </c>
      <c r="U263" s="80" t="s">
        <v>95</v>
      </c>
      <c r="V263" s="177">
        <v>2</v>
      </c>
      <c r="W263" s="80" t="str">
        <f>IF(OR(studentdata[[#This Row],[Weekend 2025]]&lt;&gt;""),"Yes","")</f>
        <v>Yes</v>
      </c>
      <c r="X263" s="80">
        <v>12</v>
      </c>
      <c r="Y263" s="80" t="str">
        <f>IF(OR(studentdata[[#This Row],[Evening 2025]]&lt;&gt;""),"Yes","")</f>
        <v/>
      </c>
      <c r="Z263" s="80"/>
      <c r="AA263" s="80"/>
      <c r="AB263" s="80" t="str">
        <f>IF(OR(studentdata[[#This Row],[Weekend 2025 Enrolled]]="Yes",studentdata[[#This Row],[Evening 2025 Enrolled]]="Yes"),"Yes","")</f>
        <v>Yes</v>
      </c>
    </row>
    <row r="264" spans="1:28" x14ac:dyDescent="0.25">
      <c r="A264" s="80">
        <v>12</v>
      </c>
      <c r="C264" s="67" t="s">
        <v>714</v>
      </c>
      <c r="D264" s="67" t="s">
        <v>68</v>
      </c>
      <c r="E264" s="67" t="s">
        <v>69</v>
      </c>
      <c r="F264" s="67">
        <v>48091</v>
      </c>
      <c r="G264" s="67">
        <v>0</v>
      </c>
      <c r="H264" s="67">
        <v>0</v>
      </c>
      <c r="I264" s="67">
        <v>0</v>
      </c>
      <c r="J264" s="67">
        <v>0</v>
      </c>
      <c r="K264" s="67">
        <v>0</v>
      </c>
      <c r="L264" s="67">
        <v>0</v>
      </c>
      <c r="M264" s="80">
        <v>264</v>
      </c>
      <c r="N264" s="67" t="s">
        <v>715</v>
      </c>
      <c r="O264" s="80">
        <v>169</v>
      </c>
      <c r="P264" s="67" t="s">
        <v>716</v>
      </c>
      <c r="Q264" s="67">
        <v>13132586668</v>
      </c>
      <c r="R264" s="67" t="s">
        <v>717</v>
      </c>
      <c r="S264" s="67">
        <v>15864279988</v>
      </c>
      <c r="T264" s="80" t="s">
        <v>56</v>
      </c>
      <c r="U264" s="80" t="s">
        <v>61</v>
      </c>
      <c r="V264" s="177">
        <v>3</v>
      </c>
      <c r="W264" s="80" t="str">
        <f>IF(OR(studentdata[[#This Row],[Weekend 2025]]&lt;&gt;""),"Yes","")</f>
        <v/>
      </c>
      <c r="X264" s="80"/>
      <c r="Y264" s="80" t="str">
        <f>IF(OR(studentdata[[#This Row],[Evening 2025]]&lt;&gt;""),"Yes","")</f>
        <v/>
      </c>
      <c r="Z264" s="80"/>
      <c r="AA264" s="80"/>
      <c r="AB264" s="80" t="str">
        <f>IF(OR(studentdata[[#This Row],[Weekend 2025 Enrolled]]="Yes",studentdata[[#This Row],[Evening 2025 Enrolled]]="Yes"),"Yes","")</f>
        <v/>
      </c>
    </row>
    <row r="265" spans="1:28" x14ac:dyDescent="0.25">
      <c r="A265" s="80">
        <v>0</v>
      </c>
      <c r="C265" s="67" t="s">
        <v>510</v>
      </c>
      <c r="D265" s="67" t="s">
        <v>68</v>
      </c>
      <c r="E265" s="67" t="s">
        <v>69</v>
      </c>
      <c r="F265" s="67">
        <v>48093</v>
      </c>
      <c r="G265" s="67">
        <v>0</v>
      </c>
      <c r="H265" s="67">
        <v>0</v>
      </c>
      <c r="I265" s="67">
        <v>0</v>
      </c>
      <c r="J265" s="67">
        <v>0</v>
      </c>
      <c r="K265" s="67">
        <v>0</v>
      </c>
      <c r="L265" s="67">
        <v>0</v>
      </c>
      <c r="M265" s="80">
        <v>265</v>
      </c>
      <c r="N265" s="67" t="s">
        <v>511</v>
      </c>
      <c r="O265" s="80">
        <v>170</v>
      </c>
      <c r="P265" s="67" t="s">
        <v>249</v>
      </c>
      <c r="Q265" s="67">
        <v>13134436329</v>
      </c>
      <c r="R265" s="67" t="s">
        <v>512</v>
      </c>
      <c r="T265" s="80" t="s">
        <v>46</v>
      </c>
      <c r="U265" s="80"/>
      <c r="V265" s="177">
        <v>2</v>
      </c>
      <c r="W265" s="80" t="str">
        <f>IF(OR(studentdata[[#This Row],[Weekend 2025]]&lt;&gt;""),"Yes","")</f>
        <v>Yes</v>
      </c>
      <c r="X265" s="80">
        <v>3</v>
      </c>
      <c r="Y265" s="80" t="str">
        <f>IF(OR(studentdata[[#This Row],[Evening 2025]]&lt;&gt;""),"Yes","")</f>
        <v/>
      </c>
      <c r="Z265" s="80"/>
      <c r="AA265" s="80"/>
      <c r="AB265" s="80" t="str">
        <f>IF(OR(studentdata[[#This Row],[Weekend 2025 Enrolled]]="Yes",studentdata[[#This Row],[Evening 2025 Enrolled]]="Yes"),"Yes","")</f>
        <v>Yes</v>
      </c>
    </row>
    <row r="266" spans="1:28" x14ac:dyDescent="0.25">
      <c r="A266" s="80">
        <v>7</v>
      </c>
      <c r="B266" s="67" t="s">
        <v>45</v>
      </c>
      <c r="C266" s="67" t="s">
        <v>207</v>
      </c>
      <c r="D266" s="67" t="s">
        <v>68</v>
      </c>
      <c r="E266" s="67" t="s">
        <v>69</v>
      </c>
      <c r="F266" s="67">
        <v>48093</v>
      </c>
      <c r="G266" s="67">
        <v>0</v>
      </c>
      <c r="H266" s="67">
        <v>0</v>
      </c>
      <c r="I266" s="67">
        <v>0</v>
      </c>
      <c r="J266" s="67">
        <v>0</v>
      </c>
      <c r="K266" s="67">
        <v>0</v>
      </c>
      <c r="L266" s="67">
        <v>0</v>
      </c>
      <c r="M266" s="80">
        <v>266</v>
      </c>
      <c r="N266" s="67" t="s">
        <v>680</v>
      </c>
      <c r="O266" s="80">
        <v>171</v>
      </c>
      <c r="P266" s="67" t="s">
        <v>209</v>
      </c>
      <c r="Q266" s="67">
        <v>13134548362</v>
      </c>
      <c r="R266" s="67" t="s">
        <v>210</v>
      </c>
      <c r="S266" s="67">
        <v>13135649981</v>
      </c>
      <c r="T266" s="80" t="s">
        <v>46</v>
      </c>
      <c r="U266" s="80" t="s">
        <v>95</v>
      </c>
      <c r="V266" s="177" t="s">
        <v>142</v>
      </c>
      <c r="W266" s="80" t="str">
        <f>IF(OR(studentdata[[#This Row],[Weekend 2025]]&lt;&gt;""),"Yes","")</f>
        <v>Yes</v>
      </c>
      <c r="X266" s="80">
        <v>6</v>
      </c>
      <c r="Y266" s="80" t="str">
        <f>IF(OR(studentdata[[#This Row],[Evening 2025]]&lt;&gt;""),"Yes","")</f>
        <v/>
      </c>
      <c r="Z266" s="80"/>
      <c r="AA266" s="80"/>
      <c r="AB266" s="80" t="str">
        <f>IF(OR(studentdata[[#This Row],[Weekend 2025 Enrolled]]="Yes",studentdata[[#This Row],[Evening 2025 Enrolled]]="Yes"),"Yes","")</f>
        <v>Yes</v>
      </c>
    </row>
    <row r="267" spans="1:28" x14ac:dyDescent="0.25">
      <c r="A267" s="80">
        <v>8</v>
      </c>
      <c r="C267" s="67" t="s">
        <v>207</v>
      </c>
      <c r="D267" s="67" t="s">
        <v>68</v>
      </c>
      <c r="E267" s="67" t="s">
        <v>69</v>
      </c>
      <c r="F267" s="67">
        <v>48093</v>
      </c>
      <c r="G267" s="67">
        <v>0</v>
      </c>
      <c r="H267" s="67">
        <v>0</v>
      </c>
      <c r="I267" s="67">
        <v>0</v>
      </c>
      <c r="J267" s="67">
        <v>0</v>
      </c>
      <c r="K267" s="67">
        <v>0</v>
      </c>
      <c r="L267" s="67">
        <v>0</v>
      </c>
      <c r="M267" s="80">
        <v>267</v>
      </c>
      <c r="N267" s="67" t="s">
        <v>208</v>
      </c>
      <c r="O267" s="80">
        <v>171</v>
      </c>
      <c r="P267" s="67" t="s">
        <v>209</v>
      </c>
      <c r="Q267" s="67">
        <v>13134548362</v>
      </c>
      <c r="R267" s="67" t="s">
        <v>210</v>
      </c>
      <c r="S267" s="67">
        <v>13135649981</v>
      </c>
      <c r="T267" s="80" t="s">
        <v>56</v>
      </c>
      <c r="U267" s="80" t="s">
        <v>80</v>
      </c>
      <c r="V267" s="177">
        <v>2</v>
      </c>
      <c r="W267" s="80" t="str">
        <f>IF(OR(studentdata[[#This Row],[Weekend 2025]]&lt;&gt;""),"Yes","")</f>
        <v>Yes</v>
      </c>
      <c r="X267" s="80">
        <v>4</v>
      </c>
      <c r="Y267" s="80" t="str">
        <f>IF(OR(studentdata[[#This Row],[Evening 2025]]&lt;&gt;""),"Yes","")</f>
        <v/>
      </c>
      <c r="Z267" s="80"/>
      <c r="AA267" s="80"/>
      <c r="AB267" s="80" t="str">
        <f>IF(OR(studentdata[[#This Row],[Weekend 2025 Enrolled]]="Yes",studentdata[[#This Row],[Evening 2025 Enrolled]]="Yes"),"Yes","")</f>
        <v>Yes</v>
      </c>
    </row>
    <row r="268" spans="1:28" x14ac:dyDescent="0.25">
      <c r="A268" s="80">
        <v>9</v>
      </c>
      <c r="C268" s="67" t="s">
        <v>906</v>
      </c>
      <c r="D268" s="67" t="s">
        <v>68</v>
      </c>
      <c r="E268" s="67" t="s">
        <v>69</v>
      </c>
      <c r="F268" s="67">
        <v>48091</v>
      </c>
      <c r="G268" s="67">
        <v>0</v>
      </c>
      <c r="H268" s="67">
        <v>0</v>
      </c>
      <c r="I268" s="67">
        <v>0</v>
      </c>
      <c r="J268" s="67">
        <v>0</v>
      </c>
      <c r="K268" s="67">
        <v>0</v>
      </c>
      <c r="L268" s="67">
        <v>0</v>
      </c>
      <c r="M268" s="80">
        <v>268</v>
      </c>
      <c r="N268" s="67" t="s">
        <v>907</v>
      </c>
      <c r="O268" s="80">
        <v>172</v>
      </c>
      <c r="P268" s="67" t="s">
        <v>908</v>
      </c>
      <c r="Q268" s="67">
        <v>13478791812</v>
      </c>
      <c r="R268" s="67" t="s">
        <v>909</v>
      </c>
      <c r="S268" s="67">
        <v>0</v>
      </c>
      <c r="T268" s="80" t="s">
        <v>46</v>
      </c>
      <c r="U268" s="80" t="s">
        <v>52</v>
      </c>
      <c r="V268" s="177">
        <v>2</v>
      </c>
      <c r="W268" s="80" t="str">
        <f>IF(OR(studentdata[[#This Row],[Weekend 2025]]&lt;&gt;""),"Yes","")</f>
        <v/>
      </c>
      <c r="X268" s="80"/>
      <c r="Y268" s="80" t="str">
        <f>IF(OR(studentdata[[#This Row],[Evening 2025]]&lt;&gt;""),"Yes","")</f>
        <v/>
      </c>
      <c r="Z268" s="80"/>
      <c r="AA268" s="80"/>
      <c r="AB268" s="80" t="str">
        <f>IF(OR(studentdata[[#This Row],[Weekend 2025 Enrolled]]="Yes",studentdata[[#This Row],[Evening 2025 Enrolled]]="Yes"),"Yes","")</f>
        <v/>
      </c>
    </row>
    <row r="269" spans="1:28" x14ac:dyDescent="0.25">
      <c r="A269" s="80">
        <v>5</v>
      </c>
      <c r="C269" s="67" t="s">
        <v>1104</v>
      </c>
      <c r="D269" s="67" t="s">
        <v>68</v>
      </c>
      <c r="E269" s="67" t="s">
        <v>69</v>
      </c>
      <c r="F269" s="67">
        <v>48089</v>
      </c>
      <c r="G269" s="67">
        <v>0</v>
      </c>
      <c r="H269" s="67">
        <v>0</v>
      </c>
      <c r="I269" s="67">
        <v>0</v>
      </c>
      <c r="J269" s="67">
        <v>0</v>
      </c>
      <c r="K269" s="67">
        <v>0</v>
      </c>
      <c r="L269" s="67">
        <v>0</v>
      </c>
      <c r="M269" s="80">
        <v>269</v>
      </c>
      <c r="N269" s="67" t="s">
        <v>1105</v>
      </c>
      <c r="O269" s="80">
        <v>173</v>
      </c>
      <c r="P269" s="67" t="s">
        <v>1106</v>
      </c>
      <c r="Q269" s="67">
        <v>13137725163</v>
      </c>
      <c r="R269" s="67" t="s">
        <v>1107</v>
      </c>
      <c r="S269" s="67">
        <v>13132930705</v>
      </c>
      <c r="T269" s="80" t="s">
        <v>46</v>
      </c>
      <c r="U269" s="80" t="s">
        <v>171</v>
      </c>
      <c r="V269" s="177"/>
      <c r="W269" s="80" t="str">
        <f>IF(OR(studentdata[[#This Row],[Weekend 2025]]&lt;&gt;""),"Yes","")</f>
        <v/>
      </c>
      <c r="X269" s="80"/>
      <c r="Y269" s="80" t="str">
        <f>IF(OR(studentdata[[#This Row],[Evening 2025]]&lt;&gt;""),"Yes","")</f>
        <v/>
      </c>
      <c r="Z269" s="80"/>
      <c r="AA269" s="80"/>
      <c r="AB269" s="80" t="str">
        <f>IF(OR(studentdata[[#This Row],[Weekend 2025 Enrolled]]="Yes",studentdata[[#This Row],[Evening 2025 Enrolled]]="Yes"),"Yes","")</f>
        <v/>
      </c>
    </row>
    <row r="270" spans="1:28" x14ac:dyDescent="0.25">
      <c r="A270" s="80">
        <v>13</v>
      </c>
      <c r="B270" s="67">
        <v>2</v>
      </c>
      <c r="C270" s="67" t="s">
        <v>105</v>
      </c>
      <c r="D270" s="67" t="s">
        <v>68</v>
      </c>
      <c r="E270" s="67" t="s">
        <v>69</v>
      </c>
      <c r="F270" s="67">
        <v>48091</v>
      </c>
      <c r="G270" s="67" t="s">
        <v>106</v>
      </c>
      <c r="H270" s="67" t="s">
        <v>107</v>
      </c>
      <c r="I270" s="67" t="s">
        <v>75</v>
      </c>
      <c r="J270" s="67" t="s">
        <v>108</v>
      </c>
      <c r="K270" s="67">
        <v>0</v>
      </c>
      <c r="L270" s="67">
        <v>0</v>
      </c>
      <c r="M270" s="80">
        <v>270</v>
      </c>
      <c r="N270" s="67" t="s">
        <v>102</v>
      </c>
      <c r="O270" s="80">
        <v>174</v>
      </c>
      <c r="P270" s="67" t="s">
        <v>103</v>
      </c>
      <c r="Q270" s="67">
        <v>15863561234</v>
      </c>
      <c r="R270" s="67" t="s">
        <v>104</v>
      </c>
      <c r="S270" s="67">
        <v>0</v>
      </c>
      <c r="T270" s="80" t="s">
        <v>46</v>
      </c>
      <c r="U270" s="80" t="s">
        <v>109</v>
      </c>
      <c r="V270" s="177"/>
      <c r="W270" s="80" t="str">
        <f>IF(OR(studentdata[[#This Row],[Weekend 2025]]&lt;&gt;""),"Yes","")</f>
        <v/>
      </c>
      <c r="X270" s="80"/>
      <c r="Y270" s="80" t="str">
        <f>IF(OR(studentdata[[#This Row],[Evening 2025]]&lt;&gt;""),"Yes","")</f>
        <v>Yes</v>
      </c>
      <c r="Z270" s="80">
        <v>10</v>
      </c>
      <c r="AA270" s="80"/>
      <c r="AB270" s="80" t="str">
        <f>IF(OR(studentdata[[#This Row],[Weekend 2025 Enrolled]]="Yes",studentdata[[#This Row],[Evening 2025 Enrolled]]="Yes"),"Yes","")</f>
        <v>Yes</v>
      </c>
    </row>
    <row r="271" spans="1:28" x14ac:dyDescent="0.25">
      <c r="A271" s="80">
        <v>13</v>
      </c>
      <c r="C271" s="67"/>
      <c r="I271" s="67"/>
      <c r="J271" s="67"/>
      <c r="M271" s="80">
        <v>271</v>
      </c>
      <c r="N271" s="67" t="s">
        <v>928</v>
      </c>
      <c r="O271" s="80">
        <v>175</v>
      </c>
      <c r="P271" s="67" t="s">
        <v>929</v>
      </c>
      <c r="Q271" s="67">
        <v>3133184199</v>
      </c>
      <c r="T271" s="80" t="s">
        <v>46</v>
      </c>
      <c r="U271" s="80" t="s">
        <v>109</v>
      </c>
      <c r="V271" s="177" t="s">
        <v>142</v>
      </c>
      <c r="W271" s="80" t="str">
        <f>IF(OR(studentdata[[#This Row],[Weekend 2025]]&lt;&gt;""),"Yes","")</f>
        <v/>
      </c>
      <c r="X271" s="80"/>
      <c r="Y271" s="80" t="str">
        <f>IF(OR(studentdata[[#This Row],[Evening 2025]]&lt;&gt;""),"Yes","")</f>
        <v/>
      </c>
      <c r="Z271" s="80"/>
      <c r="AA271" s="80"/>
      <c r="AB271" s="80" t="str">
        <f>IF(OR(studentdata[[#This Row],[Weekend 2025 Enrolled]]="Yes",studentdata[[#This Row],[Evening 2025 Enrolled]]="Yes"),"Yes","")</f>
        <v/>
      </c>
    </row>
    <row r="272" spans="1:28" x14ac:dyDescent="0.25">
      <c r="A272" s="80">
        <v>12</v>
      </c>
      <c r="C272" s="67" t="s">
        <v>728</v>
      </c>
      <c r="D272" s="67" t="s">
        <v>68</v>
      </c>
      <c r="E272" s="67" t="s">
        <v>69</v>
      </c>
      <c r="F272" s="67">
        <v>48091</v>
      </c>
      <c r="G272" s="67">
        <v>0</v>
      </c>
      <c r="H272" s="67" t="s">
        <v>729</v>
      </c>
      <c r="I272" s="67">
        <v>0</v>
      </c>
      <c r="J272" s="67">
        <v>0</v>
      </c>
      <c r="K272" s="67" t="s">
        <v>730</v>
      </c>
      <c r="L272" s="67">
        <v>0</v>
      </c>
      <c r="M272" s="80">
        <v>272</v>
      </c>
      <c r="N272" s="67" t="s">
        <v>899</v>
      </c>
      <c r="O272" s="80">
        <v>176</v>
      </c>
      <c r="P272" s="67" t="s">
        <v>732</v>
      </c>
      <c r="Q272" s="67">
        <v>15863545713</v>
      </c>
      <c r="R272" s="67" t="s">
        <v>733</v>
      </c>
      <c r="T272" s="80" t="s">
        <v>56</v>
      </c>
      <c r="U272" s="80" t="s">
        <v>61</v>
      </c>
      <c r="V272" s="177"/>
      <c r="W272" s="80" t="str">
        <f>IF(OR(studentdata[[#This Row],[Weekend 2025]]&lt;&gt;""),"Yes","")</f>
        <v/>
      </c>
      <c r="X272" s="80"/>
      <c r="Y272" s="80" t="str">
        <f>IF(OR(studentdata[[#This Row],[Evening 2025]]&lt;&gt;""),"Yes","")</f>
        <v/>
      </c>
      <c r="Z272" s="80"/>
      <c r="AA272" s="80"/>
      <c r="AB272" s="80" t="str">
        <f>IF(OR(studentdata[[#This Row],[Weekend 2025 Enrolled]]="Yes",studentdata[[#This Row],[Evening 2025 Enrolled]]="Yes"),"Yes","")</f>
        <v/>
      </c>
    </row>
    <row r="273" spans="1:28" x14ac:dyDescent="0.25">
      <c r="A273" s="80">
        <v>8</v>
      </c>
      <c r="C273" s="67" t="s">
        <v>728</v>
      </c>
      <c r="D273" s="67" t="s">
        <v>68</v>
      </c>
      <c r="E273" s="67" t="s">
        <v>69</v>
      </c>
      <c r="F273" s="67">
        <v>48091</v>
      </c>
      <c r="G273" s="67">
        <v>0</v>
      </c>
      <c r="H273" s="67" t="s">
        <v>729</v>
      </c>
      <c r="I273" s="67">
        <v>0</v>
      </c>
      <c r="J273" s="67">
        <v>0</v>
      </c>
      <c r="K273" s="67" t="s">
        <v>730</v>
      </c>
      <c r="L273" s="67">
        <v>0</v>
      </c>
      <c r="M273" s="80">
        <v>273</v>
      </c>
      <c r="N273" s="67" t="s">
        <v>731</v>
      </c>
      <c r="O273" s="80">
        <v>176</v>
      </c>
      <c r="P273" s="67" t="s">
        <v>732</v>
      </c>
      <c r="Q273" s="67">
        <v>15863545713</v>
      </c>
      <c r="R273" s="67" t="s">
        <v>733</v>
      </c>
      <c r="T273" s="80" t="s">
        <v>56</v>
      </c>
      <c r="U273" s="80" t="s">
        <v>52</v>
      </c>
      <c r="V273" s="177">
        <v>4</v>
      </c>
      <c r="W273" s="80" t="str">
        <f>IF(OR(studentdata[[#This Row],[Weekend 2025]]&lt;&gt;""),"Yes","")</f>
        <v/>
      </c>
      <c r="X273" s="80"/>
      <c r="Y273" s="80" t="str">
        <f>IF(OR(studentdata[[#This Row],[Evening 2025]]&lt;&gt;""),"Yes","")</f>
        <v/>
      </c>
      <c r="Z273" s="80"/>
      <c r="AA273" s="80"/>
      <c r="AB273" s="80" t="str">
        <f>IF(OR(studentdata[[#This Row],[Weekend 2025 Enrolled]]="Yes",studentdata[[#This Row],[Evening 2025 Enrolled]]="Yes"),"Yes","")</f>
        <v/>
      </c>
    </row>
    <row r="274" spans="1:28" x14ac:dyDescent="0.25">
      <c r="A274" s="80">
        <v>8</v>
      </c>
      <c r="C274" s="67" t="s">
        <v>728</v>
      </c>
      <c r="D274" s="67" t="s">
        <v>68</v>
      </c>
      <c r="E274" s="67" t="s">
        <v>69</v>
      </c>
      <c r="F274" s="67">
        <v>48091</v>
      </c>
      <c r="G274" s="67">
        <v>0</v>
      </c>
      <c r="H274" s="67" t="s">
        <v>729</v>
      </c>
      <c r="I274" s="67">
        <v>0</v>
      </c>
      <c r="J274" s="67">
        <v>0</v>
      </c>
      <c r="K274" s="67" t="s">
        <v>730</v>
      </c>
      <c r="L274" s="67">
        <v>0</v>
      </c>
      <c r="M274" s="80">
        <v>274</v>
      </c>
      <c r="N274" s="67" t="s">
        <v>1108</v>
      </c>
      <c r="O274" s="80">
        <v>176</v>
      </c>
      <c r="P274" s="67" t="s">
        <v>732</v>
      </c>
      <c r="Q274" s="67">
        <v>15863545713</v>
      </c>
      <c r="R274" s="67" t="s">
        <v>733</v>
      </c>
      <c r="T274" s="80" t="s">
        <v>46</v>
      </c>
      <c r="U274" s="80" t="s">
        <v>52</v>
      </c>
      <c r="V274" s="177"/>
      <c r="W274" s="80" t="str">
        <f>IF(OR(studentdata[[#This Row],[Weekend 2025]]&lt;&gt;""),"Yes","")</f>
        <v/>
      </c>
      <c r="X274" s="80"/>
      <c r="Y274" s="80" t="str">
        <f>IF(OR(studentdata[[#This Row],[Evening 2025]]&lt;&gt;""),"Yes","")</f>
        <v/>
      </c>
      <c r="Z274" s="80"/>
      <c r="AA274" s="80"/>
      <c r="AB274" s="80" t="str">
        <f>IF(OR(studentdata[[#This Row],[Weekend 2025 Enrolled]]="Yes",studentdata[[#This Row],[Evening 2025 Enrolled]]="Yes"),"Yes","")</f>
        <v/>
      </c>
    </row>
    <row r="275" spans="1:28" x14ac:dyDescent="0.25">
      <c r="A275" s="80">
        <v>5</v>
      </c>
      <c r="B275" s="67">
        <v>3</v>
      </c>
      <c r="C275" s="67" t="s">
        <v>130</v>
      </c>
      <c r="D275" s="67" t="s">
        <v>68</v>
      </c>
      <c r="E275" s="67" t="s">
        <v>69</v>
      </c>
      <c r="F275" s="67">
        <v>48092</v>
      </c>
      <c r="G275" s="67" t="s">
        <v>131</v>
      </c>
      <c r="H275" s="67">
        <v>0</v>
      </c>
      <c r="I275" s="67">
        <v>0</v>
      </c>
      <c r="J275" s="67">
        <v>0</v>
      </c>
      <c r="K275" s="67">
        <v>0</v>
      </c>
      <c r="L275" s="67">
        <v>0</v>
      </c>
      <c r="M275" s="80">
        <v>275</v>
      </c>
      <c r="N275" s="67" t="s">
        <v>127</v>
      </c>
      <c r="O275" s="80">
        <v>177</v>
      </c>
      <c r="P275" s="67" t="s">
        <v>128</v>
      </c>
      <c r="Q275" s="67">
        <v>15862379790</v>
      </c>
      <c r="R275" s="67" t="s">
        <v>129</v>
      </c>
      <c r="S275" s="67">
        <v>15869436744</v>
      </c>
      <c r="T275" s="80" t="s">
        <v>56</v>
      </c>
      <c r="U275" s="80" t="s">
        <v>57</v>
      </c>
      <c r="V275" s="177" t="s">
        <v>48</v>
      </c>
      <c r="W275" s="80" t="str">
        <f>IF(OR(studentdata[[#This Row],[Weekend 2025]]&lt;&gt;""),"Yes","")</f>
        <v>Yes</v>
      </c>
      <c r="X275" s="80">
        <v>8</v>
      </c>
      <c r="Y275" s="80" t="str">
        <f>IF(OR(studentdata[[#This Row],[Evening 2025]]&lt;&gt;""),"Yes","")</f>
        <v>Yes</v>
      </c>
      <c r="Z275" s="80">
        <v>10</v>
      </c>
      <c r="AA275" s="80"/>
      <c r="AB275" s="80" t="str">
        <f>IF(OR(studentdata[[#This Row],[Weekend 2025 Enrolled]]="Yes",studentdata[[#This Row],[Evening 2025 Enrolled]]="Yes"),"Yes","")</f>
        <v>Yes</v>
      </c>
    </row>
    <row r="276" spans="1:28" x14ac:dyDescent="0.25">
      <c r="A276" s="190">
        <v>43281</v>
      </c>
      <c r="C276" s="67"/>
      <c r="I276" s="67"/>
      <c r="J276" s="67"/>
      <c r="M276" s="80">
        <v>276</v>
      </c>
      <c r="N276" s="67" t="s">
        <v>372</v>
      </c>
      <c r="O276" s="80">
        <v>184</v>
      </c>
      <c r="P276" s="67" t="s">
        <v>373</v>
      </c>
      <c r="Q276" s="67">
        <v>3134527440</v>
      </c>
      <c r="R276" s="67" t="s">
        <v>374</v>
      </c>
      <c r="S276" s="67">
        <v>3137991499</v>
      </c>
      <c r="T276" s="80" t="s">
        <v>56</v>
      </c>
      <c r="U276" s="80" t="s">
        <v>95</v>
      </c>
      <c r="V276" s="177" t="s">
        <v>48</v>
      </c>
      <c r="W276" s="80" t="str">
        <f>IF(OR(studentdata[[#This Row],[Weekend 2025]]&lt;&gt;""),"Yes","")</f>
        <v>Yes</v>
      </c>
      <c r="X276" s="80">
        <v>1</v>
      </c>
      <c r="Y276" s="80" t="str">
        <f>IF(OR(studentdata[[#This Row],[Evening 2025]]&lt;&gt;""),"Yes","")</f>
        <v/>
      </c>
      <c r="Z276" s="80"/>
      <c r="AA276" s="80"/>
      <c r="AB276" s="80" t="str">
        <f>IF(OR(studentdata[[#This Row],[Weekend 2025 Enrolled]]="Yes",studentdata[[#This Row],[Evening 2025 Enrolled]]="Yes"),"Yes","")</f>
        <v>Yes</v>
      </c>
    </row>
    <row r="277" spans="1:28" x14ac:dyDescent="0.25">
      <c r="C277" s="67"/>
      <c r="I277" s="67"/>
      <c r="J277" s="67"/>
      <c r="M277" s="80">
        <v>277</v>
      </c>
      <c r="N277" s="67" t="s">
        <v>718</v>
      </c>
      <c r="O277" s="80"/>
      <c r="T277" s="80" t="s">
        <v>56</v>
      </c>
      <c r="U277" s="80"/>
      <c r="V277" s="177">
        <v>3</v>
      </c>
      <c r="W277" s="80" t="str">
        <f>IF(OR(studentdata[[#This Row],[Weekend 2025]]&lt;&gt;""),"Yes","")</f>
        <v/>
      </c>
      <c r="X277" s="80"/>
      <c r="Y277" s="80" t="str">
        <f>IF(OR(studentdata[[#This Row],[Evening 2025]]&lt;&gt;""),"Yes","")</f>
        <v/>
      </c>
      <c r="Z277" s="80"/>
      <c r="AA277" s="80"/>
      <c r="AB277" s="80" t="str">
        <f>IF(OR(studentdata[[#This Row],[Weekend 2025 Enrolled]]="Yes",studentdata[[#This Row],[Evening 2025 Enrolled]]="Yes"),"Yes","")</f>
        <v/>
      </c>
    </row>
    <row r="278" spans="1:28" x14ac:dyDescent="0.25">
      <c r="A278" s="190">
        <v>40949</v>
      </c>
      <c r="C278" s="67"/>
      <c r="I278" s="67"/>
      <c r="J278" s="67"/>
      <c r="M278" s="80">
        <v>278</v>
      </c>
      <c r="N278" s="67" t="s">
        <v>267</v>
      </c>
      <c r="O278" s="80">
        <v>194</v>
      </c>
      <c r="P278" s="67" t="s">
        <v>268</v>
      </c>
      <c r="Q278" s="67">
        <v>5865535260</v>
      </c>
      <c r="R278" s="67" t="s">
        <v>269</v>
      </c>
      <c r="S278" s="67">
        <v>5862378923</v>
      </c>
      <c r="T278" s="80" t="s">
        <v>56</v>
      </c>
      <c r="U278" s="80" t="s">
        <v>109</v>
      </c>
      <c r="V278" s="177">
        <v>3</v>
      </c>
      <c r="W278" s="80" t="str">
        <f>IF(OR(studentdata[[#This Row],[Weekend 2025]]&lt;&gt;""),"Yes","")</f>
        <v>Yes</v>
      </c>
      <c r="X278" s="80">
        <v>2</v>
      </c>
      <c r="Y278" s="80" t="str">
        <f>IF(OR(studentdata[[#This Row],[Evening 2025]]&lt;&gt;""),"Yes","")</f>
        <v/>
      </c>
      <c r="Z278" s="80"/>
      <c r="AA278" s="80"/>
      <c r="AB278" s="80" t="str">
        <f>IF(OR(studentdata[[#This Row],[Weekend 2025 Enrolled]]="Yes",studentdata[[#This Row],[Evening 2025 Enrolled]]="Yes"),"Yes","")</f>
        <v>Yes</v>
      </c>
    </row>
    <row r="279" spans="1:28" x14ac:dyDescent="0.25">
      <c r="A279" s="190">
        <v>42612</v>
      </c>
      <c r="C279" s="67"/>
      <c r="I279" s="67"/>
      <c r="J279" s="67"/>
      <c r="M279" s="80">
        <v>279</v>
      </c>
      <c r="N279" s="67" t="s">
        <v>703</v>
      </c>
      <c r="O279" s="80">
        <v>194</v>
      </c>
      <c r="P279" s="67" t="s">
        <v>268</v>
      </c>
      <c r="Q279" s="67">
        <v>5865535260</v>
      </c>
      <c r="R279" s="67" t="s">
        <v>269</v>
      </c>
      <c r="S279" s="67">
        <v>5862378923</v>
      </c>
      <c r="T279" s="80" t="s">
        <v>56</v>
      </c>
      <c r="U279" s="80" t="s">
        <v>52</v>
      </c>
      <c r="V279" s="177">
        <v>2</v>
      </c>
      <c r="W279" s="80" t="str">
        <f>IF(OR(studentdata[[#This Row],[Weekend 2025]]&lt;&gt;""),"Yes","")</f>
        <v/>
      </c>
      <c r="X279" s="80"/>
      <c r="Y279" s="80" t="str">
        <f>IF(OR(studentdata[[#This Row],[Evening 2025]]&lt;&gt;""),"Yes","")</f>
        <v/>
      </c>
      <c r="Z279" s="80"/>
      <c r="AA279" s="80"/>
      <c r="AB279" s="80" t="str">
        <f>IF(OR(studentdata[[#This Row],[Weekend 2025 Enrolled]]="Yes",studentdata[[#This Row],[Evening 2025 Enrolled]]="Yes"),"Yes","")</f>
        <v/>
      </c>
    </row>
    <row r="280" spans="1:28" x14ac:dyDescent="0.25">
      <c r="A280" s="190">
        <v>42605</v>
      </c>
      <c r="C280" s="67"/>
      <c r="I280" s="67"/>
      <c r="J280" s="67"/>
      <c r="M280" s="80">
        <v>280</v>
      </c>
      <c r="N280" s="67" t="s">
        <v>477</v>
      </c>
      <c r="O280" s="80">
        <v>180</v>
      </c>
      <c r="P280" s="67" t="s">
        <v>440</v>
      </c>
      <c r="Q280" s="67">
        <v>9735635000</v>
      </c>
      <c r="R280" s="67" t="s">
        <v>441</v>
      </c>
      <c r="S280" s="67">
        <v>9734133510</v>
      </c>
      <c r="T280" s="80" t="s">
        <v>56</v>
      </c>
      <c r="U280" s="80" t="s">
        <v>52</v>
      </c>
      <c r="V280" s="177" t="s">
        <v>142</v>
      </c>
      <c r="W280" s="80" t="str">
        <f>IF(OR(studentdata[[#This Row],[Weekend 2025]]&lt;&gt;""),"Yes","")</f>
        <v>Yes</v>
      </c>
      <c r="X280" s="80">
        <v>3</v>
      </c>
      <c r="Y280" s="80" t="str">
        <f>IF(OR(studentdata[[#This Row],[Evening 2025]]&lt;&gt;""),"Yes","")</f>
        <v/>
      </c>
      <c r="Z280" s="80"/>
      <c r="AA280" s="80"/>
      <c r="AB280" s="80" t="str">
        <f>IF(OR(studentdata[[#This Row],[Weekend 2025 Enrolled]]="Yes",studentdata[[#This Row],[Evening 2025 Enrolled]]="Yes"),"Yes","")</f>
        <v>Yes</v>
      </c>
    </row>
    <row r="281" spans="1:28" x14ac:dyDescent="0.25">
      <c r="B281" s="67">
        <v>3</v>
      </c>
      <c r="C281" s="67"/>
      <c r="I281" s="67"/>
      <c r="J281" s="67"/>
      <c r="M281" s="80">
        <v>281</v>
      </c>
      <c r="N281" s="67" t="s">
        <v>326</v>
      </c>
      <c r="O281" s="80">
        <v>27</v>
      </c>
      <c r="P281" s="67" t="s">
        <v>327</v>
      </c>
      <c r="Q281" s="67">
        <v>3134852745</v>
      </c>
      <c r="R281" s="67" t="s">
        <v>328</v>
      </c>
      <c r="T281" s="80" t="s">
        <v>56</v>
      </c>
      <c r="U281" s="80" t="s">
        <v>52</v>
      </c>
      <c r="V281" s="177">
        <v>4</v>
      </c>
      <c r="W281" s="80" t="str">
        <f>IF(OR(studentdata[[#This Row],[Weekend 2025]]&lt;&gt;""),"Yes","")</f>
        <v>Yes</v>
      </c>
      <c r="X281" s="80">
        <v>2</v>
      </c>
      <c r="Y281" s="80" t="str">
        <f>IF(OR(studentdata[[#This Row],[Evening 2025]]&lt;&gt;""),"Yes","")</f>
        <v/>
      </c>
      <c r="Z281" s="80"/>
      <c r="AA281" s="80"/>
      <c r="AB281" s="80" t="str">
        <f>IF(OR(studentdata[[#This Row],[Weekend 2025 Enrolled]]="Yes",studentdata[[#This Row],[Evening 2025 Enrolled]]="Yes"),"Yes","")</f>
        <v>Yes</v>
      </c>
    </row>
    <row r="282" spans="1:28" x14ac:dyDescent="0.25">
      <c r="C282" s="67"/>
      <c r="I282" s="67"/>
      <c r="J282" s="67"/>
      <c r="M282" s="80">
        <v>282</v>
      </c>
      <c r="N282" s="67" t="s">
        <v>462</v>
      </c>
      <c r="O282" s="80">
        <v>190</v>
      </c>
      <c r="P282" s="67" t="s">
        <v>463</v>
      </c>
      <c r="Q282" s="67">
        <v>3133779541</v>
      </c>
      <c r="R282" s="67" t="s">
        <v>464</v>
      </c>
      <c r="S282" s="67">
        <v>5864387830</v>
      </c>
      <c r="T282" s="80" t="s">
        <v>56</v>
      </c>
      <c r="U282" s="80" t="s">
        <v>57</v>
      </c>
      <c r="V282" s="177" t="s">
        <v>137</v>
      </c>
      <c r="W282" s="80" t="str">
        <f>IF(OR(studentdata[[#This Row],[Weekend 2025]]&lt;&gt;""),"Yes","")</f>
        <v>Yes</v>
      </c>
      <c r="X282" s="80">
        <v>13</v>
      </c>
      <c r="Y282" s="80" t="str">
        <f>IF(OR(studentdata[[#This Row],[Evening 2025]]&lt;&gt;""),"Yes","")</f>
        <v/>
      </c>
      <c r="Z282" s="80"/>
      <c r="AA282" s="80"/>
      <c r="AB282" s="80" t="str">
        <f>IF(OR(studentdata[[#This Row],[Weekend 2025 Enrolled]]="Yes",studentdata[[#This Row],[Evening 2025 Enrolled]]="Yes"),"Yes","")</f>
        <v>Yes</v>
      </c>
    </row>
    <row r="283" spans="1:28" x14ac:dyDescent="0.25">
      <c r="C283" s="67"/>
      <c r="I283" s="67"/>
      <c r="J283" s="67"/>
      <c r="M283" s="80">
        <v>283</v>
      </c>
      <c r="N283" s="67" t="s">
        <v>900</v>
      </c>
      <c r="O283" s="80"/>
      <c r="T283" s="80" t="s">
        <v>56</v>
      </c>
      <c r="U283" s="80"/>
      <c r="V283" s="177"/>
      <c r="W283" s="80" t="str">
        <f>IF(OR(studentdata[[#This Row],[Weekend 2025]]&lt;&gt;""),"Yes","")</f>
        <v/>
      </c>
      <c r="X283" s="80"/>
      <c r="Y283" s="80" t="str">
        <f>IF(OR(studentdata[[#This Row],[Evening 2025]]&lt;&gt;""),"Yes","")</f>
        <v/>
      </c>
      <c r="Z283" s="80"/>
      <c r="AA283" s="80"/>
      <c r="AB283" s="80" t="str">
        <f>IF(OR(studentdata[[#This Row],[Weekend 2025 Enrolled]]="Yes",studentdata[[#This Row],[Evening 2025 Enrolled]]="Yes"),"Yes","")</f>
        <v/>
      </c>
    </row>
    <row r="284" spans="1:28" x14ac:dyDescent="0.25">
      <c r="B284" s="67" t="s">
        <v>45</v>
      </c>
      <c r="C284" s="67"/>
      <c r="I284" s="67"/>
      <c r="J284" s="67"/>
      <c r="M284" s="80">
        <v>284</v>
      </c>
      <c r="N284" s="67" t="s">
        <v>689</v>
      </c>
      <c r="O284" s="80">
        <v>190</v>
      </c>
      <c r="P284" s="67" t="s">
        <v>463</v>
      </c>
      <c r="Q284" s="67">
        <v>3133779541</v>
      </c>
      <c r="R284" s="67" t="s">
        <v>464</v>
      </c>
      <c r="S284" s="67">
        <v>5864387830</v>
      </c>
      <c r="T284" s="80" t="s">
        <v>46</v>
      </c>
      <c r="U284" s="80" t="s">
        <v>80</v>
      </c>
      <c r="V284" s="177" t="s">
        <v>142</v>
      </c>
      <c r="W284" s="80" t="str">
        <f>IF(OR(studentdata[[#This Row],[Weekend 2025]]&lt;&gt;""),"Yes","")</f>
        <v>Yes</v>
      </c>
      <c r="X284" s="80">
        <v>10</v>
      </c>
      <c r="Y284" s="80" t="str">
        <f>IF(OR(studentdata[[#This Row],[Evening 2025]]&lt;&gt;""),"Yes","")</f>
        <v/>
      </c>
      <c r="Z284" s="80"/>
      <c r="AA284" s="80"/>
      <c r="AB284" s="80" t="str">
        <f>IF(OR(studentdata[[#This Row],[Weekend 2025 Enrolled]]="Yes",studentdata[[#This Row],[Evening 2025 Enrolled]]="Yes"),"Yes","")</f>
        <v>Yes</v>
      </c>
    </row>
    <row r="285" spans="1:28" x14ac:dyDescent="0.25">
      <c r="A285" s="80">
        <v>8</v>
      </c>
      <c r="B285" s="67" t="s">
        <v>45</v>
      </c>
      <c r="C285" s="67"/>
      <c r="I285" s="67"/>
      <c r="J285" s="67"/>
      <c r="M285" s="80">
        <v>285</v>
      </c>
      <c r="N285" s="67" t="s">
        <v>690</v>
      </c>
      <c r="O285" s="80">
        <v>69</v>
      </c>
      <c r="P285" s="67" t="s">
        <v>691</v>
      </c>
      <c r="Q285" s="67">
        <v>13137423584</v>
      </c>
      <c r="R285" s="67" t="s">
        <v>692</v>
      </c>
      <c r="T285" s="80" t="s">
        <v>46</v>
      </c>
      <c r="U285" s="80" t="s">
        <v>80</v>
      </c>
      <c r="V285" s="177" t="s">
        <v>142</v>
      </c>
      <c r="W285" s="80" t="str">
        <f>IF(OR(studentdata[[#This Row],[Weekend 2025]]&lt;&gt;""),"Yes","")</f>
        <v>Yes</v>
      </c>
      <c r="X285" s="80">
        <v>11</v>
      </c>
      <c r="Y285" s="80" t="str">
        <f>IF(OR(studentdata[[#This Row],[Evening 2025]]&lt;&gt;""),"Yes","")</f>
        <v/>
      </c>
      <c r="Z285" s="80"/>
      <c r="AA285" s="80"/>
      <c r="AB285" s="80" t="str">
        <f>IF(OR(studentdata[[#This Row],[Weekend 2025 Enrolled]]="Yes",studentdata[[#This Row],[Evening 2025 Enrolled]]="Yes"),"Yes","")</f>
        <v>Yes</v>
      </c>
    </row>
    <row r="286" spans="1:28" x14ac:dyDescent="0.25">
      <c r="A286" s="190">
        <v>41157</v>
      </c>
      <c r="B286" s="67" t="s">
        <v>162</v>
      </c>
      <c r="C286" s="67"/>
      <c r="I286" s="67"/>
      <c r="J286" s="67"/>
      <c r="M286" s="80">
        <v>286</v>
      </c>
      <c r="N286" s="67" t="s">
        <v>558</v>
      </c>
      <c r="O286" s="80">
        <v>180</v>
      </c>
      <c r="P286" s="67" t="s">
        <v>440</v>
      </c>
      <c r="Q286" s="67">
        <v>9735635000</v>
      </c>
      <c r="R286" s="67" t="s">
        <v>441</v>
      </c>
      <c r="S286" s="67">
        <v>9734133510</v>
      </c>
      <c r="T286" s="80" t="s">
        <v>46</v>
      </c>
      <c r="U286" s="80" t="s">
        <v>109</v>
      </c>
      <c r="V286" s="177">
        <v>3</v>
      </c>
      <c r="W286" s="80" t="str">
        <f>IF(OR(studentdata[[#This Row],[Weekend 2025]]&lt;&gt;""),"Yes","")</f>
        <v>Yes</v>
      </c>
      <c r="X286" s="80">
        <v>5</v>
      </c>
      <c r="Y286" s="80" t="str">
        <f>IF(OR(studentdata[[#This Row],[Evening 2025]]&lt;&gt;""),"Yes","")</f>
        <v/>
      </c>
      <c r="Z286" s="80"/>
      <c r="AA286" s="80"/>
      <c r="AB286" s="80" t="str">
        <f>IF(OR(studentdata[[#This Row],[Weekend 2025 Enrolled]]="Yes",studentdata[[#This Row],[Evening 2025 Enrolled]]="Yes"),"Yes","")</f>
        <v>Yes</v>
      </c>
    </row>
    <row r="287" spans="1:28" x14ac:dyDescent="0.25">
      <c r="A287" s="190">
        <v>41821</v>
      </c>
      <c r="C287" s="67"/>
      <c r="I287" s="67"/>
      <c r="J287" s="67"/>
      <c r="M287" s="80">
        <v>287</v>
      </c>
      <c r="N287" s="67" t="s">
        <v>478</v>
      </c>
      <c r="O287" s="80">
        <v>191</v>
      </c>
      <c r="P287" s="67" t="s">
        <v>403</v>
      </c>
      <c r="Q287" s="67">
        <v>7863342537</v>
      </c>
      <c r="R287" s="67" t="s">
        <v>404</v>
      </c>
      <c r="S287" s="67">
        <v>3137074083</v>
      </c>
      <c r="T287" s="80" t="s">
        <v>56</v>
      </c>
      <c r="U287" s="80" t="s">
        <v>156</v>
      </c>
      <c r="V287" s="177" t="s">
        <v>142</v>
      </c>
      <c r="W287" s="80" t="str">
        <f>IF(OR(studentdata[[#This Row],[Weekend 2025]]&lt;&gt;""),"Yes","")</f>
        <v>Yes</v>
      </c>
      <c r="X287" s="80">
        <v>5</v>
      </c>
      <c r="Y287" s="80" t="str">
        <f>IF(OR(studentdata[[#This Row],[Evening 2025]]&lt;&gt;""),"Yes","")</f>
        <v/>
      </c>
      <c r="Z287" s="80"/>
      <c r="AA287" s="80"/>
      <c r="AB287" s="80" t="str">
        <f>IF(OR(studentdata[[#This Row],[Weekend 2025 Enrolled]]="Yes",studentdata[[#This Row],[Evening 2025 Enrolled]]="Yes"),"Yes","")</f>
        <v>Yes</v>
      </c>
    </row>
    <row r="288" spans="1:28" x14ac:dyDescent="0.25">
      <c r="A288" s="190">
        <v>41621</v>
      </c>
      <c r="C288" s="67"/>
      <c r="I288" s="67"/>
      <c r="J288" s="67"/>
      <c r="M288" s="80">
        <v>288</v>
      </c>
      <c r="N288" s="67" t="s">
        <v>329</v>
      </c>
      <c r="O288" s="80">
        <v>179</v>
      </c>
      <c r="P288" s="67" t="s">
        <v>330</v>
      </c>
      <c r="Q288" s="67">
        <v>6024138949</v>
      </c>
      <c r="R288" s="67" t="s">
        <v>331</v>
      </c>
      <c r="S288" s="67">
        <v>6028023778</v>
      </c>
      <c r="T288" s="80" t="s">
        <v>56</v>
      </c>
      <c r="U288" s="80" t="s">
        <v>156</v>
      </c>
      <c r="V288" s="177">
        <v>4</v>
      </c>
      <c r="W288" s="80" t="str">
        <f>IF(OR(studentdata[[#This Row],[Weekend 2025]]&lt;&gt;""),"Yes","")</f>
        <v>Yes</v>
      </c>
      <c r="X288" s="80">
        <v>3</v>
      </c>
      <c r="Y288" s="80" t="str">
        <f>IF(OR(studentdata[[#This Row],[Evening 2025]]&lt;&gt;""),"Yes","")</f>
        <v/>
      </c>
      <c r="Z288" s="80"/>
      <c r="AA288" s="80"/>
      <c r="AB288" s="80" t="str">
        <f>IF(OR(studentdata[[#This Row],[Weekend 2025 Enrolled]]="Yes",studentdata[[#This Row],[Evening 2025 Enrolled]]="Yes"),"Yes","")</f>
        <v>Yes</v>
      </c>
    </row>
    <row r="289" spans="1:28" x14ac:dyDescent="0.25">
      <c r="C289" s="67"/>
      <c r="I289" s="67"/>
      <c r="J289" s="67"/>
      <c r="M289" s="80">
        <v>289</v>
      </c>
      <c r="N289" s="67" t="s">
        <v>1109</v>
      </c>
      <c r="O289" s="80"/>
      <c r="T289" s="80" t="s">
        <v>46</v>
      </c>
      <c r="U289" s="80"/>
      <c r="V289" s="177"/>
      <c r="W289" s="80" t="str">
        <f>IF(OR(studentdata[[#This Row],[Weekend 2025]]&lt;&gt;""),"Yes","")</f>
        <v/>
      </c>
      <c r="X289" s="80"/>
      <c r="Y289" s="80" t="str">
        <f>IF(OR(studentdata[[#This Row],[Evening 2025]]&lt;&gt;""),"Yes","")</f>
        <v/>
      </c>
      <c r="Z289" s="80"/>
      <c r="AA289" s="80"/>
      <c r="AB289" s="80" t="str">
        <f>IF(OR(studentdata[[#This Row],[Weekend 2025 Enrolled]]="Yes",studentdata[[#This Row],[Evening 2025 Enrolled]]="Yes"),"Yes","")</f>
        <v/>
      </c>
    </row>
    <row r="290" spans="1:28" x14ac:dyDescent="0.25">
      <c r="C290" s="67"/>
      <c r="I290" s="67"/>
      <c r="J290" s="67"/>
      <c r="M290" s="80">
        <v>290</v>
      </c>
      <c r="N290" s="67" t="s">
        <v>719</v>
      </c>
      <c r="O290" s="80">
        <v>188</v>
      </c>
      <c r="P290" s="67" t="s">
        <v>720</v>
      </c>
      <c r="Q290" s="67">
        <v>5862725819</v>
      </c>
      <c r="R290" s="67" t="s">
        <v>721</v>
      </c>
      <c r="S290" s="67">
        <v>5863659128</v>
      </c>
      <c r="T290" s="80" t="s">
        <v>56</v>
      </c>
      <c r="U290" s="80" t="s">
        <v>199</v>
      </c>
      <c r="V290" s="177">
        <v>3</v>
      </c>
      <c r="W290" s="80" t="str">
        <f>IF(OR(studentdata[[#This Row],[Weekend 2025]]&lt;&gt;""),"Yes","")</f>
        <v/>
      </c>
      <c r="X290" s="80"/>
      <c r="Y290" s="80" t="str">
        <f>IF(OR(studentdata[[#This Row],[Evening 2025]]&lt;&gt;""),"Yes","")</f>
        <v/>
      </c>
      <c r="Z290" s="80"/>
      <c r="AA290" s="80"/>
      <c r="AB290" s="80" t="str">
        <f>IF(OR(studentdata[[#This Row],[Weekend 2025 Enrolled]]="Yes",studentdata[[#This Row],[Evening 2025 Enrolled]]="Yes"),"Yes","")</f>
        <v/>
      </c>
    </row>
    <row r="291" spans="1:28" x14ac:dyDescent="0.25">
      <c r="A291" s="190">
        <v>42948</v>
      </c>
      <c r="C291" s="67"/>
      <c r="I291" s="67"/>
      <c r="J291" s="67"/>
      <c r="M291" s="80">
        <v>291</v>
      </c>
      <c r="N291" s="67" t="s">
        <v>439</v>
      </c>
      <c r="O291" s="80">
        <v>180</v>
      </c>
      <c r="P291" s="67" t="s">
        <v>440</v>
      </c>
      <c r="Q291" s="67">
        <v>9735635000</v>
      </c>
      <c r="R291" s="67" t="s">
        <v>441</v>
      </c>
      <c r="S291" s="67">
        <v>9734133510</v>
      </c>
      <c r="T291" s="80" t="s">
        <v>56</v>
      </c>
      <c r="U291" s="80" t="s">
        <v>80</v>
      </c>
      <c r="V291" s="177" t="s">
        <v>137</v>
      </c>
      <c r="W291" s="80" t="str">
        <f>IF(OR(studentdata[[#This Row],[Weekend 2025]]&lt;&gt;""),"Yes","")</f>
        <v>Yes</v>
      </c>
      <c r="X291" s="80">
        <v>4</v>
      </c>
      <c r="Y291" s="80" t="str">
        <f>IF(OR(studentdata[[#This Row],[Evening 2025]]&lt;&gt;""),"Yes","")</f>
        <v/>
      </c>
      <c r="Z291" s="80"/>
      <c r="AA291" s="80"/>
      <c r="AB291" s="80" t="str">
        <f>IF(OR(studentdata[[#This Row],[Weekend 2025 Enrolled]]="Yes",studentdata[[#This Row],[Evening 2025 Enrolled]]="Yes"),"Yes","")</f>
        <v>Yes</v>
      </c>
    </row>
    <row r="292" spans="1:28" x14ac:dyDescent="0.25">
      <c r="A292" s="190">
        <v>43762</v>
      </c>
      <c r="B292" s="67" t="s">
        <v>45</v>
      </c>
      <c r="C292" s="67"/>
      <c r="I292" s="67"/>
      <c r="J292" s="67"/>
      <c r="M292" s="80">
        <v>292</v>
      </c>
      <c r="N292" s="67" t="s">
        <v>634</v>
      </c>
      <c r="O292" s="80">
        <v>201</v>
      </c>
      <c r="P292" s="67" t="s">
        <v>466</v>
      </c>
      <c r="Q292" s="67">
        <v>3235722238</v>
      </c>
      <c r="R292" s="67" t="s">
        <v>467</v>
      </c>
      <c r="S292" s="67">
        <v>9472779015</v>
      </c>
      <c r="T292" s="80" t="s">
        <v>46</v>
      </c>
      <c r="U292" s="80" t="s">
        <v>171</v>
      </c>
      <c r="V292" s="177" t="s">
        <v>48</v>
      </c>
      <c r="W292" s="80" t="str">
        <f>IF(OR(studentdata[[#This Row],[Weekend 2025]]&lt;&gt;""),"Yes","")</f>
        <v>Yes</v>
      </c>
      <c r="X292" s="80">
        <v>11</v>
      </c>
      <c r="Y292" s="80" t="str">
        <f>IF(OR(studentdata[[#This Row],[Evening 2025]]&lt;&gt;""),"Yes","")</f>
        <v/>
      </c>
      <c r="Z292" s="80"/>
      <c r="AA292" s="80"/>
      <c r="AB292" s="80" t="str">
        <f>IF(OR(studentdata[[#This Row],[Weekend 2025 Enrolled]]="Yes",studentdata[[#This Row],[Evening 2025 Enrolled]]="Yes"),"Yes","")</f>
        <v>Yes</v>
      </c>
    </row>
    <row r="293" spans="1:28" x14ac:dyDescent="0.25">
      <c r="C293" s="67"/>
      <c r="I293" s="67"/>
      <c r="J293" s="67"/>
      <c r="M293" s="80">
        <v>293</v>
      </c>
      <c r="O293" s="80"/>
      <c r="T293" s="80"/>
      <c r="U293" s="80"/>
      <c r="V293" s="177"/>
      <c r="W293" s="80"/>
      <c r="X293" s="80"/>
      <c r="Y293" s="80"/>
      <c r="Z293" s="80"/>
      <c r="AA293" s="80"/>
      <c r="AB293" s="80"/>
    </row>
    <row r="294" spans="1:28" x14ac:dyDescent="0.25">
      <c r="A294" s="190">
        <v>41919</v>
      </c>
      <c r="B294" s="67" t="s">
        <v>162</v>
      </c>
      <c r="C294" s="67"/>
      <c r="I294" s="67"/>
      <c r="J294" s="67"/>
      <c r="M294" s="80">
        <v>294</v>
      </c>
      <c r="N294" s="67" t="s">
        <v>559</v>
      </c>
      <c r="O294" s="80">
        <v>189</v>
      </c>
      <c r="P294" s="67" t="s">
        <v>285</v>
      </c>
      <c r="Q294" s="67">
        <v>5865226880</v>
      </c>
      <c r="R294" s="67" t="s">
        <v>286</v>
      </c>
      <c r="S294" s="67">
        <v>5863600337</v>
      </c>
      <c r="T294" s="80" t="s">
        <v>46</v>
      </c>
      <c r="U294" s="80" t="s">
        <v>85</v>
      </c>
      <c r="V294" s="177">
        <v>3</v>
      </c>
      <c r="W294" s="80" t="str">
        <f>IF(OR(studentdata[[#This Row],[Weekend 2025]]&lt;&gt;""),"Yes","")</f>
        <v>Yes</v>
      </c>
      <c r="X294" s="80">
        <v>6</v>
      </c>
      <c r="Y294" s="80" t="str">
        <f>IF(OR(studentdata[[#This Row],[Evening 2025]]&lt;&gt;""),"Yes","")</f>
        <v/>
      </c>
      <c r="Z294" s="80"/>
      <c r="AA294" s="80"/>
      <c r="AB294" s="80" t="str">
        <f>IF(OR(studentdata[[#This Row],[Weekend 2025 Enrolled]]="Yes",studentdata[[#This Row],[Evening 2025 Enrolled]]="Yes"),"Yes","")</f>
        <v>Yes</v>
      </c>
    </row>
    <row r="295" spans="1:28" x14ac:dyDescent="0.25">
      <c r="A295" s="190">
        <v>42285</v>
      </c>
      <c r="C295" s="67"/>
      <c r="I295" s="67"/>
      <c r="J295" s="67"/>
      <c r="M295" s="80">
        <v>295</v>
      </c>
      <c r="N295" s="67" t="s">
        <v>284</v>
      </c>
      <c r="O295" s="80">
        <v>189</v>
      </c>
      <c r="P295" s="67" t="s">
        <v>285</v>
      </c>
      <c r="Q295" s="67">
        <v>5865226880</v>
      </c>
      <c r="R295" s="67" t="s">
        <v>286</v>
      </c>
      <c r="S295" s="67">
        <v>5863600337</v>
      </c>
      <c r="T295" s="80" t="s">
        <v>56</v>
      </c>
      <c r="U295" s="80" t="s">
        <v>85</v>
      </c>
      <c r="V295" s="177">
        <v>3</v>
      </c>
      <c r="W295" s="80" t="str">
        <f>IF(OR(studentdata[[#This Row],[Weekend 2025]]&lt;&gt;""),"Yes","")</f>
        <v>Yes</v>
      </c>
      <c r="X295" s="80">
        <v>6</v>
      </c>
      <c r="Y295" s="80" t="str">
        <f>IF(OR(studentdata[[#This Row],[Evening 2025]]&lt;&gt;""),"Yes","")</f>
        <v/>
      </c>
      <c r="Z295" s="80"/>
      <c r="AA295" s="80"/>
      <c r="AB295" s="80" t="str">
        <f>IF(OR(studentdata[[#This Row],[Weekend 2025 Enrolled]]="Yes",studentdata[[#This Row],[Evening 2025 Enrolled]]="Yes"),"Yes","")</f>
        <v>Yes</v>
      </c>
    </row>
    <row r="296" spans="1:28" x14ac:dyDescent="0.25">
      <c r="A296" s="190">
        <v>43523</v>
      </c>
      <c r="C296" s="67"/>
      <c r="I296" s="67"/>
      <c r="J296" s="67"/>
      <c r="M296" s="80">
        <v>296</v>
      </c>
      <c r="N296" s="67" t="s">
        <v>384</v>
      </c>
      <c r="O296" s="80">
        <v>186</v>
      </c>
      <c r="P296" s="67" t="s">
        <v>385</v>
      </c>
      <c r="Q296" s="67">
        <v>5616684125</v>
      </c>
      <c r="R296" s="67" t="s">
        <v>386</v>
      </c>
      <c r="T296" s="80" t="s">
        <v>56</v>
      </c>
      <c r="U296" s="80"/>
      <c r="V296" s="177" t="s">
        <v>48</v>
      </c>
      <c r="W296" s="80" t="str">
        <f>IF(OR(studentdata[[#This Row],[Weekend 2025]]&lt;&gt;""),"Yes","")</f>
        <v>Yes</v>
      </c>
      <c r="X296" s="80">
        <v>7</v>
      </c>
      <c r="Y296" s="80" t="str">
        <f>IF(OR(studentdata[[#This Row],[Evening 2025]]&lt;&gt;""),"Yes","")</f>
        <v/>
      </c>
      <c r="Z296" s="80"/>
      <c r="AA296" s="80"/>
      <c r="AB296" s="80" t="str">
        <f>IF(OR(studentdata[[#This Row],[Weekend 2025 Enrolled]]="Yes",studentdata[[#This Row],[Evening 2025 Enrolled]]="Yes"),"Yes","")</f>
        <v>Yes</v>
      </c>
    </row>
    <row r="297" spans="1:28" x14ac:dyDescent="0.25">
      <c r="B297" s="67" t="s">
        <v>162</v>
      </c>
      <c r="C297" s="67"/>
      <c r="I297" s="67"/>
      <c r="J297" s="67"/>
      <c r="M297" s="80">
        <v>297</v>
      </c>
      <c r="N297" s="67" t="s">
        <v>910</v>
      </c>
      <c r="O297" s="80">
        <v>188</v>
      </c>
      <c r="P297" s="67" t="s">
        <v>911</v>
      </c>
      <c r="R297" s="67" t="s">
        <v>912</v>
      </c>
      <c r="S297" s="67">
        <v>5862725819</v>
      </c>
      <c r="T297" s="80" t="s">
        <v>46</v>
      </c>
      <c r="U297" s="80" t="s">
        <v>197</v>
      </c>
      <c r="V297" s="177">
        <v>3</v>
      </c>
      <c r="W297" s="80" t="str">
        <f>IF(OR(studentdata[[#This Row],[Weekend 2025]]&lt;&gt;""),"Yes","")</f>
        <v/>
      </c>
      <c r="X297" s="80"/>
      <c r="Y297" s="80" t="str">
        <f>IF(OR(studentdata[[#This Row],[Evening 2025]]&lt;&gt;""),"Yes","")</f>
        <v/>
      </c>
      <c r="Z297" s="80"/>
      <c r="AA297" s="80"/>
      <c r="AB297" s="80" t="str">
        <f>IF(OR(studentdata[[#This Row],[Weekend 2025 Enrolled]]="Yes",studentdata[[#This Row],[Evening 2025 Enrolled]]="Yes"),"Yes","")</f>
        <v/>
      </c>
    </row>
    <row r="298" spans="1:28" x14ac:dyDescent="0.25">
      <c r="C298" s="67"/>
      <c r="I298" s="67"/>
      <c r="J298" s="67"/>
      <c r="M298" s="80">
        <v>298</v>
      </c>
      <c r="N298" s="67" t="s">
        <v>722</v>
      </c>
      <c r="O298" s="80">
        <v>188</v>
      </c>
      <c r="P298" s="67" t="s">
        <v>720</v>
      </c>
      <c r="Q298" s="67">
        <v>5862725819</v>
      </c>
      <c r="R298" s="67" t="s">
        <v>721</v>
      </c>
      <c r="S298" s="67">
        <v>5863659128</v>
      </c>
      <c r="T298" s="80" t="s">
        <v>56</v>
      </c>
      <c r="U298" s="80" t="s">
        <v>61</v>
      </c>
      <c r="V298" s="177">
        <v>3</v>
      </c>
      <c r="W298" s="80" t="str">
        <f>IF(OR(studentdata[[#This Row],[Weekend 2025]]&lt;&gt;""),"Yes","")</f>
        <v/>
      </c>
      <c r="X298" s="80"/>
      <c r="Y298" s="80" t="str">
        <f>IF(OR(studentdata[[#This Row],[Evening 2025]]&lt;&gt;""),"Yes","")</f>
        <v/>
      </c>
      <c r="Z298" s="80"/>
      <c r="AA298" s="80"/>
      <c r="AB298" s="80" t="str">
        <f>IF(OR(studentdata[[#This Row],[Weekend 2025 Enrolled]]="Yes",studentdata[[#This Row],[Evening 2025 Enrolled]]="Yes"),"Yes","")</f>
        <v/>
      </c>
    </row>
    <row r="299" spans="1:28" x14ac:dyDescent="0.25">
      <c r="C299" s="67"/>
      <c r="I299" s="67"/>
      <c r="J299" s="67"/>
      <c r="M299" s="80">
        <v>299</v>
      </c>
      <c r="N299" s="67" t="s">
        <v>387</v>
      </c>
      <c r="O299" s="80">
        <v>178</v>
      </c>
      <c r="P299" s="67" t="s">
        <v>388</v>
      </c>
      <c r="Q299" s="67">
        <v>3135647414</v>
      </c>
      <c r="R299" s="67" t="s">
        <v>389</v>
      </c>
      <c r="S299" s="67">
        <v>3137072012</v>
      </c>
      <c r="T299" s="80" t="s">
        <v>56</v>
      </c>
      <c r="U299" s="80"/>
      <c r="V299" s="177" t="s">
        <v>48</v>
      </c>
      <c r="W299" s="80" t="str">
        <f>IF(OR(studentdata[[#This Row],[Weekend 2025]]&lt;&gt;""),"Yes","")</f>
        <v>Yes</v>
      </c>
      <c r="X299" s="80">
        <v>9</v>
      </c>
      <c r="Y299" s="80" t="str">
        <f>IF(OR(studentdata[[#This Row],[Evening 2025]]&lt;&gt;""),"Yes","")</f>
        <v/>
      </c>
      <c r="Z299" s="80"/>
      <c r="AA299" s="80"/>
      <c r="AB299" s="80" t="str">
        <f>IF(OR(studentdata[[#This Row],[Weekend 2025 Enrolled]]="Yes",studentdata[[#This Row],[Evening 2025 Enrolled]]="Yes"),"Yes","")</f>
        <v>Yes</v>
      </c>
    </row>
    <row r="300" spans="1:28" x14ac:dyDescent="0.25">
      <c r="C300" s="67"/>
      <c r="I300" s="67"/>
      <c r="J300" s="67"/>
      <c r="M300" s="80">
        <v>300</v>
      </c>
      <c r="N300" s="67" t="s">
        <v>230</v>
      </c>
      <c r="O300" s="80">
        <v>187</v>
      </c>
      <c r="P300" s="67" t="s">
        <v>231</v>
      </c>
      <c r="Q300" s="67">
        <v>5867330056</v>
      </c>
      <c r="R300" s="67" t="s">
        <v>232</v>
      </c>
      <c r="S300" s="67">
        <v>5865531227</v>
      </c>
      <c r="T300" s="80" t="s">
        <v>56</v>
      </c>
      <c r="U300" s="80"/>
      <c r="V300" s="177">
        <v>2</v>
      </c>
      <c r="W300" s="80" t="str">
        <f>IF(OR(studentdata[[#This Row],[Weekend 2025]]&lt;&gt;""),"Yes","")</f>
        <v>Yes</v>
      </c>
      <c r="X300" s="80">
        <v>9</v>
      </c>
      <c r="Y300" s="80" t="str">
        <f>IF(OR(studentdata[[#This Row],[Evening 2025]]&lt;&gt;""),"Yes","")</f>
        <v/>
      </c>
      <c r="Z300" s="80"/>
      <c r="AA300" s="80"/>
      <c r="AB300" s="80" t="str">
        <f>IF(OR(studentdata[[#This Row],[Weekend 2025 Enrolled]]="Yes",studentdata[[#This Row],[Evening 2025 Enrolled]]="Yes"),"Yes","")</f>
        <v>Yes</v>
      </c>
    </row>
    <row r="301" spans="1:28" x14ac:dyDescent="0.25">
      <c r="A301" s="190">
        <v>42820</v>
      </c>
      <c r="B301" s="67" t="s">
        <v>45</v>
      </c>
      <c r="C301" s="67"/>
      <c r="I301" s="67"/>
      <c r="J301" s="67"/>
      <c r="M301" s="80">
        <v>301</v>
      </c>
      <c r="N301" s="67" t="s">
        <v>620</v>
      </c>
      <c r="O301" s="80">
        <v>200</v>
      </c>
      <c r="P301" s="67" t="s">
        <v>621</v>
      </c>
      <c r="R301" s="67" t="s">
        <v>622</v>
      </c>
      <c r="T301" s="80" t="s">
        <v>46</v>
      </c>
      <c r="U301" s="80" t="s">
        <v>80</v>
      </c>
      <c r="V301" s="177" t="s">
        <v>48</v>
      </c>
      <c r="W301" s="80" t="str">
        <f>IF(OR(studentdata[[#This Row],[Weekend 2025]]&lt;&gt;""),"Yes","")</f>
        <v>Yes</v>
      </c>
      <c r="X301" s="80">
        <v>4</v>
      </c>
      <c r="Y301" s="80" t="str">
        <f>IF(OR(studentdata[[#This Row],[Evening 2025]]&lt;&gt;""),"Yes","")</f>
        <v/>
      </c>
      <c r="Z301" s="80"/>
      <c r="AA301" s="80"/>
      <c r="AB301" s="80" t="str">
        <f>IF(OR(studentdata[[#This Row],[Weekend 2025 Enrolled]]="Yes",studentdata[[#This Row],[Evening 2025 Enrolled]]="Yes"),"Yes","")</f>
        <v>Yes</v>
      </c>
    </row>
    <row r="302" spans="1:28" x14ac:dyDescent="0.25">
      <c r="C302" s="67"/>
      <c r="I302" s="67"/>
      <c r="J302" s="67"/>
      <c r="M302" s="80">
        <v>302</v>
      </c>
      <c r="N302" s="67" t="s">
        <v>901</v>
      </c>
      <c r="O302" s="80"/>
      <c r="T302" s="80" t="s">
        <v>56</v>
      </c>
      <c r="U302" s="80"/>
      <c r="V302" s="177"/>
      <c r="W302" s="80" t="str">
        <f>IF(OR(studentdata[[#This Row],[Weekend 2025]]&lt;&gt;""),"Yes","")</f>
        <v/>
      </c>
      <c r="X302" s="80"/>
      <c r="Y302" s="80" t="str">
        <f>IF(OR(studentdata[[#This Row],[Evening 2025]]&lt;&gt;""),"Yes","")</f>
        <v/>
      </c>
      <c r="Z302" s="80"/>
      <c r="AA302" s="80"/>
      <c r="AB302" s="80" t="str">
        <f>IF(OR(studentdata[[#This Row],[Weekend 2025 Enrolled]]="Yes",studentdata[[#This Row],[Evening 2025 Enrolled]]="Yes"),"Yes","")</f>
        <v/>
      </c>
    </row>
    <row r="303" spans="1:28" x14ac:dyDescent="0.25">
      <c r="A303" s="190">
        <v>42976</v>
      </c>
      <c r="B303" s="67" t="s">
        <v>45</v>
      </c>
      <c r="C303" s="67"/>
      <c r="I303" s="67"/>
      <c r="J303" s="67"/>
      <c r="M303" s="80">
        <v>303</v>
      </c>
      <c r="N303" s="67" t="s">
        <v>679</v>
      </c>
      <c r="O303" s="80">
        <v>182</v>
      </c>
      <c r="P303" s="67" t="s">
        <v>576</v>
      </c>
      <c r="Q303" s="67">
        <v>8622902837</v>
      </c>
      <c r="R303" s="67" t="s">
        <v>577</v>
      </c>
      <c r="T303" s="80" t="s">
        <v>46</v>
      </c>
      <c r="U303" s="80" t="s">
        <v>80</v>
      </c>
      <c r="V303" s="177" t="s">
        <v>142</v>
      </c>
      <c r="W303" s="80" t="str">
        <f>IF(OR(studentdata[[#This Row],[Weekend 2025]]&lt;&gt;""),"Yes","")</f>
        <v>Yes</v>
      </c>
      <c r="X303" s="80">
        <v>5</v>
      </c>
      <c r="Y303" s="80" t="str">
        <f>IF(OR(studentdata[[#This Row],[Evening 2025]]&lt;&gt;""),"Yes","")</f>
        <v/>
      </c>
      <c r="Z303" s="80"/>
      <c r="AA303" s="80"/>
      <c r="AB303" s="80" t="str">
        <f>IF(OR(studentdata[[#This Row],[Weekend 2025 Enrolled]]="Yes",studentdata[[#This Row],[Evening 2025 Enrolled]]="Yes"),"Yes","")</f>
        <v>Yes</v>
      </c>
    </row>
    <row r="304" spans="1:28" x14ac:dyDescent="0.25">
      <c r="A304" s="190">
        <v>40331</v>
      </c>
      <c r="C304" s="67"/>
      <c r="I304" s="67"/>
      <c r="J304" s="67"/>
      <c r="M304" s="80">
        <v>304</v>
      </c>
      <c r="N304" s="67" t="s">
        <v>299</v>
      </c>
      <c r="O304" s="80">
        <v>183</v>
      </c>
      <c r="P304" s="67" t="s">
        <v>300</v>
      </c>
      <c r="Q304" s="67">
        <v>3133189073</v>
      </c>
      <c r="T304" s="80" t="s">
        <v>56</v>
      </c>
      <c r="U304" s="80" t="s">
        <v>190</v>
      </c>
      <c r="V304" s="177">
        <v>3</v>
      </c>
      <c r="W304" s="80" t="str">
        <f>IF(OR(studentdata[[#This Row],[Weekend 2025]]&lt;&gt;""),"Yes","")</f>
        <v>Yes</v>
      </c>
      <c r="X304" s="80">
        <v>11</v>
      </c>
      <c r="Y304" s="80" t="str">
        <f>IF(OR(studentdata[[#This Row],[Evening 2025]]&lt;&gt;""),"Yes","")</f>
        <v/>
      </c>
      <c r="Z304" s="80"/>
      <c r="AA304" s="80"/>
      <c r="AB304" s="80" t="str">
        <f>IF(OR(studentdata[[#This Row],[Weekend 2025 Enrolled]]="Yes",studentdata[[#This Row],[Evening 2025 Enrolled]]="Yes"),"Yes","")</f>
        <v>Yes</v>
      </c>
    </row>
    <row r="305" spans="1:28" x14ac:dyDescent="0.25">
      <c r="A305" s="190">
        <v>41275</v>
      </c>
      <c r="B305" s="67" t="s">
        <v>162</v>
      </c>
      <c r="C305" s="67"/>
      <c r="I305" s="67"/>
      <c r="J305" s="67"/>
      <c r="M305" s="80">
        <v>305</v>
      </c>
      <c r="N305" s="67" t="s">
        <v>575</v>
      </c>
      <c r="O305" s="80">
        <v>182</v>
      </c>
      <c r="P305" s="67" t="s">
        <v>576</v>
      </c>
      <c r="Q305" s="67">
        <v>8622902837</v>
      </c>
      <c r="R305" s="67" t="s">
        <v>577</v>
      </c>
      <c r="T305" s="80" t="s">
        <v>46</v>
      </c>
      <c r="U305" s="80" t="s">
        <v>61</v>
      </c>
      <c r="V305" s="177">
        <v>3</v>
      </c>
      <c r="W305" s="80" t="str">
        <f>IF(OR(studentdata[[#This Row],[Weekend 2025]]&lt;&gt;""),"Yes","")</f>
        <v>Yes</v>
      </c>
      <c r="X305" s="80">
        <v>10</v>
      </c>
      <c r="Y305" s="80" t="str">
        <f>IF(OR(studentdata[[#This Row],[Evening 2025]]&lt;&gt;""),"Yes","")</f>
        <v/>
      </c>
      <c r="Z305" s="80"/>
      <c r="AA305" s="80"/>
      <c r="AB305" s="80" t="str">
        <f>IF(OR(studentdata[[#This Row],[Weekend 2025 Enrolled]]="Yes",studentdata[[#This Row],[Evening 2025 Enrolled]]="Yes"),"Yes","")</f>
        <v>Yes</v>
      </c>
    </row>
    <row r="306" spans="1:28" x14ac:dyDescent="0.25">
      <c r="A306" s="190">
        <v>43436</v>
      </c>
      <c r="B306" s="67" t="s">
        <v>45</v>
      </c>
      <c r="C306" s="67"/>
      <c r="I306" s="67"/>
      <c r="J306" s="67"/>
      <c r="M306" s="80">
        <v>306</v>
      </c>
      <c r="N306" s="67" t="s">
        <v>1110</v>
      </c>
      <c r="O306" s="80">
        <v>185</v>
      </c>
      <c r="P306" s="67" t="s">
        <v>1111</v>
      </c>
      <c r="Q306" s="67">
        <v>5187689000</v>
      </c>
      <c r="R306" s="67" t="s">
        <v>1112</v>
      </c>
      <c r="S306" s="67">
        <v>6462208293</v>
      </c>
      <c r="T306" s="80" t="s">
        <v>46</v>
      </c>
      <c r="U306" s="80" t="s">
        <v>57</v>
      </c>
      <c r="V306" s="177"/>
      <c r="W306" s="80" t="str">
        <f>IF(OR(studentdata[[#This Row],[Weekend 2025]]&lt;&gt;""),"Yes","")</f>
        <v/>
      </c>
      <c r="X306" s="80"/>
      <c r="Y306" s="80" t="str">
        <f>IF(OR(studentdata[[#This Row],[Evening 2025]]&lt;&gt;""),"Yes","")</f>
        <v/>
      </c>
      <c r="Z306" s="80"/>
      <c r="AA306" s="80"/>
      <c r="AB306" s="80" t="str">
        <f>IF(OR(studentdata[[#This Row],[Weekend 2025 Enrolled]]="Yes",studentdata[[#This Row],[Evening 2025 Enrolled]]="Yes"),"Yes","")</f>
        <v/>
      </c>
    </row>
    <row r="307" spans="1:28" x14ac:dyDescent="0.25">
      <c r="A307" s="190">
        <v>43787</v>
      </c>
      <c r="C307" s="67"/>
      <c r="I307" s="67"/>
      <c r="J307" s="67"/>
      <c r="M307" s="80">
        <v>307</v>
      </c>
      <c r="N307" s="67" t="s">
        <v>626</v>
      </c>
      <c r="O307" s="80">
        <v>193</v>
      </c>
      <c r="P307" s="67" t="s">
        <v>627</v>
      </c>
      <c r="Q307" s="67">
        <v>3134552640</v>
      </c>
      <c r="R307" s="67" t="s">
        <v>628</v>
      </c>
      <c r="S307" s="67">
        <v>13134207093</v>
      </c>
      <c r="T307" s="80" t="s">
        <v>46</v>
      </c>
      <c r="U307" s="80" t="s">
        <v>57</v>
      </c>
      <c r="V307" s="177" t="s">
        <v>48</v>
      </c>
      <c r="W307" s="80" t="str">
        <f>IF(OR(studentdata[[#This Row],[Weekend 2025]]&lt;&gt;""),"Yes","")</f>
        <v>Yes</v>
      </c>
      <c r="X307" s="80">
        <v>8</v>
      </c>
      <c r="Y307" s="80" t="str">
        <f>IF(OR(studentdata[[#This Row],[Evening 2025]]&lt;&gt;""),"Yes","")</f>
        <v/>
      </c>
      <c r="Z307" s="80"/>
      <c r="AA307" s="80"/>
      <c r="AB307" s="80" t="str">
        <f>IF(OR(studentdata[[#This Row],[Weekend 2025 Enrolled]]="Yes",studentdata[[#This Row],[Evening 2025 Enrolled]]="Yes"),"Yes","")</f>
        <v>Yes</v>
      </c>
    </row>
    <row r="308" spans="1:28" x14ac:dyDescent="0.25">
      <c r="A308" s="190">
        <v>43688</v>
      </c>
      <c r="C308" s="67"/>
      <c r="I308" s="67"/>
      <c r="J308" s="67"/>
      <c r="M308" s="80">
        <v>308</v>
      </c>
      <c r="N308" s="67" t="s">
        <v>402</v>
      </c>
      <c r="O308" s="80">
        <v>191</v>
      </c>
      <c r="P308" s="67" t="s">
        <v>403</v>
      </c>
      <c r="Q308" s="67">
        <v>7863342537</v>
      </c>
      <c r="R308" s="67" t="s">
        <v>404</v>
      </c>
      <c r="S308" s="67">
        <v>3137074083</v>
      </c>
      <c r="T308" s="80" t="s">
        <v>56</v>
      </c>
      <c r="U308" s="80" t="s">
        <v>57</v>
      </c>
      <c r="V308" s="177" t="s">
        <v>48</v>
      </c>
      <c r="W308" s="80" t="str">
        <f>IF(OR(studentdata[[#This Row],[Weekend 2025]]&lt;&gt;""),"Yes","")</f>
        <v>Yes</v>
      </c>
      <c r="X308" s="80">
        <v>13</v>
      </c>
      <c r="Y308" s="80" t="str">
        <f>IF(OR(studentdata[[#This Row],[Evening 2025]]&lt;&gt;""),"Yes","")</f>
        <v/>
      </c>
      <c r="Z308" s="80"/>
      <c r="AA308" s="80"/>
      <c r="AB308" s="80" t="str">
        <f>IF(OR(studentdata[[#This Row],[Weekend 2025 Enrolled]]="Yes",studentdata[[#This Row],[Evening 2025 Enrolled]]="Yes"),"Yes","")</f>
        <v>Yes</v>
      </c>
    </row>
    <row r="309" spans="1:28" x14ac:dyDescent="0.25">
      <c r="C309" s="67"/>
      <c r="I309" s="67"/>
      <c r="J309" s="67"/>
      <c r="M309" s="80">
        <v>310</v>
      </c>
      <c r="N309" s="67" t="s">
        <v>541</v>
      </c>
      <c r="O309" s="80">
        <v>192</v>
      </c>
      <c r="T309" s="80" t="s">
        <v>46</v>
      </c>
      <c r="U309" s="80"/>
      <c r="V309" s="177">
        <v>2</v>
      </c>
      <c r="W309" s="80" t="str">
        <f>IF(OR(studentdata[[#This Row],[Weekend 2025]]&lt;&gt;""),"Yes","")</f>
        <v>Yes</v>
      </c>
      <c r="X309" s="80">
        <v>14</v>
      </c>
      <c r="Y309" s="80" t="str">
        <f>IF(OR(studentdata[[#This Row],[Evening 2025]]&lt;&gt;""),"Yes","")</f>
        <v/>
      </c>
      <c r="Z309" s="80"/>
      <c r="AA309" s="80"/>
      <c r="AB309" s="80" t="str">
        <f>IF(OR(studentdata[[#This Row],[Weekend 2025 Enrolled]]="Yes",studentdata[[#This Row],[Evening 2025 Enrolled]]="Yes"),"Yes","")</f>
        <v>Yes</v>
      </c>
    </row>
    <row r="310" spans="1:28" x14ac:dyDescent="0.25">
      <c r="B310" s="67" t="s">
        <v>162</v>
      </c>
      <c r="C310" s="67"/>
      <c r="I310" s="67"/>
      <c r="J310" s="67"/>
      <c r="M310" s="80">
        <v>311</v>
      </c>
      <c r="N310" s="67" t="s">
        <v>584</v>
      </c>
      <c r="O310" s="80">
        <v>196</v>
      </c>
      <c r="P310" s="67" t="s">
        <v>311</v>
      </c>
      <c r="Q310" s="67">
        <v>3133126699</v>
      </c>
      <c r="R310" s="67" t="s">
        <v>312</v>
      </c>
      <c r="S310" s="67">
        <v>3136037773</v>
      </c>
      <c r="T310" s="80" t="s">
        <v>46</v>
      </c>
      <c r="U310" s="80"/>
      <c r="V310" s="177">
        <v>3</v>
      </c>
      <c r="W310" s="80" t="str">
        <f>IF(OR(studentdata[[#This Row],[Weekend 2025]]&lt;&gt;""),"Yes","")</f>
        <v>Yes</v>
      </c>
      <c r="X310" s="80">
        <v>13</v>
      </c>
      <c r="Y310" s="80" t="str">
        <f>IF(OR(studentdata[[#This Row],[Evening 2025]]&lt;&gt;""),"Yes","")</f>
        <v/>
      </c>
      <c r="Z310" s="80"/>
      <c r="AA310" s="80"/>
      <c r="AB310" s="80" t="str">
        <f>IF(OR(studentdata[[#This Row],[Weekend 2025 Enrolled]]="Yes",studentdata[[#This Row],[Evening 2025 Enrolled]]="Yes"),"Yes","")</f>
        <v>Yes</v>
      </c>
    </row>
    <row r="311" spans="1:28" x14ac:dyDescent="0.25">
      <c r="C311" s="67"/>
      <c r="I311" s="67"/>
      <c r="J311" s="67"/>
      <c r="M311" s="80">
        <v>312</v>
      </c>
      <c r="N311" s="67" t="s">
        <v>310</v>
      </c>
      <c r="O311" s="80">
        <v>196</v>
      </c>
      <c r="P311" s="67" t="s">
        <v>311</v>
      </c>
      <c r="Q311" s="67">
        <v>3133126699</v>
      </c>
      <c r="R311" s="67" t="s">
        <v>312</v>
      </c>
      <c r="S311" s="67">
        <v>3136037773</v>
      </c>
      <c r="T311" s="80" t="s">
        <v>56</v>
      </c>
      <c r="U311" s="80"/>
      <c r="V311" s="177">
        <v>3</v>
      </c>
      <c r="W311" s="80" t="str">
        <f>IF(OR(studentdata[[#This Row],[Weekend 2025]]&lt;&gt;""),"Yes","")</f>
        <v>Yes</v>
      </c>
      <c r="X311" s="80">
        <v>14</v>
      </c>
      <c r="Y311" s="80" t="str">
        <f>IF(OR(studentdata[[#This Row],[Evening 2025]]&lt;&gt;""),"Yes","")</f>
        <v/>
      </c>
      <c r="Z311" s="80"/>
      <c r="AA311" s="80"/>
      <c r="AB311" s="80" t="str">
        <f>IF(OR(studentdata[[#This Row],[Weekend 2025 Enrolled]]="Yes",studentdata[[#This Row],[Evening 2025 Enrolled]]="Yes"),"Yes","")</f>
        <v>Yes</v>
      </c>
    </row>
    <row r="312" spans="1:28" x14ac:dyDescent="0.25">
      <c r="B312" s="67">
        <v>3</v>
      </c>
      <c r="C312" s="67"/>
      <c r="I312" s="67"/>
      <c r="J312" s="67"/>
      <c r="M312" s="80">
        <v>313</v>
      </c>
      <c r="N312" s="67" t="s">
        <v>62</v>
      </c>
      <c r="O312" s="80"/>
      <c r="P312" s="67" t="s">
        <v>63</v>
      </c>
      <c r="T312" s="80" t="s">
        <v>56</v>
      </c>
      <c r="U312" s="80"/>
      <c r="V312" s="177"/>
      <c r="W312" s="80" t="str">
        <f>IF(OR(studentdata[[#This Row],[Weekend 2025]]&lt;&gt;""),"Yes","")</f>
        <v/>
      </c>
      <c r="X312" s="80"/>
      <c r="Y312" s="80" t="str">
        <f>IF(OR(studentdata[[#This Row],[Evening 2025]]&lt;&gt;""),"Yes","")</f>
        <v/>
      </c>
      <c r="Z312" s="80"/>
      <c r="AA312" s="80"/>
      <c r="AB312" s="80" t="str">
        <f>IF(OR(studentdata[[#This Row],[Weekend 2025 Enrolled]]="Yes",studentdata[[#This Row],[Evening 2025 Enrolled]]="Yes"),"Yes","")</f>
        <v/>
      </c>
    </row>
    <row r="313" spans="1:28" x14ac:dyDescent="0.25">
      <c r="B313" s="67">
        <v>2</v>
      </c>
      <c r="C313" s="67"/>
      <c r="I313" s="67"/>
      <c r="J313" s="67"/>
      <c r="M313" s="80">
        <v>315</v>
      </c>
      <c r="N313" s="67" t="s">
        <v>110</v>
      </c>
      <c r="O313" s="80"/>
      <c r="P313" s="67" t="s">
        <v>111</v>
      </c>
      <c r="R313" s="67" t="s">
        <v>112</v>
      </c>
      <c r="T313" s="80" t="s">
        <v>46</v>
      </c>
      <c r="U313" s="80"/>
      <c r="V313" s="177"/>
      <c r="W313" s="80" t="str">
        <f>IF(OR(studentdata[[#This Row],[Weekend 2025]]&lt;&gt;""),"Yes","")</f>
        <v/>
      </c>
      <c r="X313" s="80"/>
      <c r="Y313" s="80" t="str">
        <f>IF(OR(studentdata[[#This Row],[Evening 2025]]&lt;&gt;""),"Yes","")</f>
        <v>Yes</v>
      </c>
      <c r="Z313" s="80">
        <v>7</v>
      </c>
      <c r="AA313" s="80"/>
      <c r="AB313" s="80" t="str">
        <f>IF(OR(studentdata[[#This Row],[Weekend 2025 Enrolled]]="Yes",studentdata[[#This Row],[Evening 2025 Enrolled]]="Yes"),"Yes","")</f>
        <v>Yes</v>
      </c>
    </row>
    <row r="314" spans="1:28" x14ac:dyDescent="0.25">
      <c r="A314" s="190">
        <v>41088</v>
      </c>
      <c r="B314" s="67" t="s">
        <v>45</v>
      </c>
      <c r="C314" s="67"/>
      <c r="I314" s="67"/>
      <c r="J314" s="67"/>
      <c r="M314" s="80">
        <v>316</v>
      </c>
      <c r="N314" s="67" t="s">
        <v>465</v>
      </c>
      <c r="O314" s="80">
        <v>201</v>
      </c>
      <c r="P314" s="67" t="s">
        <v>466</v>
      </c>
      <c r="Q314" s="67">
        <v>3235722238</v>
      </c>
      <c r="R314" s="67" t="s">
        <v>467</v>
      </c>
      <c r="S314" s="67">
        <v>9472779015</v>
      </c>
      <c r="T314" s="80" t="s">
        <v>56</v>
      </c>
      <c r="U314" s="80" t="s">
        <v>109</v>
      </c>
      <c r="V314" s="177" t="s">
        <v>137</v>
      </c>
      <c r="W314" s="80" t="str">
        <f>IF(OR(studentdata[[#This Row],[Weekend 2025]]&lt;&gt;""),"Yes","")</f>
        <v>Yes</v>
      </c>
      <c r="X314" s="80">
        <v>15</v>
      </c>
      <c r="Y314" s="80" t="str">
        <f>IF(OR(studentdata[[#This Row],[Evening 2025]]&lt;&gt;""),"Yes","")</f>
        <v/>
      </c>
      <c r="Z314" s="80"/>
      <c r="AA314" s="80"/>
      <c r="AB314" s="80" t="str">
        <f>IF(OR(studentdata[[#This Row],[Weekend 2025 Enrolled]]="Yes",studentdata[[#This Row],[Evening 2025 Enrolled]]="Yes"),"Yes","")</f>
        <v>Yes</v>
      </c>
    </row>
    <row r="315" spans="1:28" x14ac:dyDescent="0.25">
      <c r="A315" s="190">
        <v>43076</v>
      </c>
      <c r="B315" s="67" t="s">
        <v>45</v>
      </c>
      <c r="C315" s="67"/>
      <c r="I315" s="67"/>
      <c r="J315" s="67"/>
      <c r="M315" s="80">
        <v>317</v>
      </c>
      <c r="N315" s="67" t="s">
        <v>420</v>
      </c>
      <c r="O315" s="80">
        <v>198</v>
      </c>
      <c r="P315" s="67" t="s">
        <v>421</v>
      </c>
      <c r="Q315" s="67">
        <v>6464796140</v>
      </c>
      <c r="R315" s="67" t="s">
        <v>422</v>
      </c>
      <c r="S315" s="67">
        <v>7186908647</v>
      </c>
      <c r="T315" s="80" t="s">
        <v>56</v>
      </c>
      <c r="U315" s="80" t="s">
        <v>95</v>
      </c>
      <c r="V315" s="177" t="s">
        <v>48</v>
      </c>
      <c r="W315" s="80" t="str">
        <f>IF(OR(studentdata[[#This Row],[Weekend 2025]]&lt;&gt;""),"Yes","")</f>
        <v>Yes</v>
      </c>
      <c r="X315" s="80">
        <v>19</v>
      </c>
      <c r="Y315" s="80" t="str">
        <f>IF(OR(studentdata[[#This Row],[Evening 2025]]&lt;&gt;""),"Yes","")</f>
        <v/>
      </c>
      <c r="Z315" s="80"/>
      <c r="AA315" s="80"/>
      <c r="AB315" s="80" t="str">
        <f>IF(OR(studentdata[[#This Row],[Weekend 2025 Enrolled]]="Yes",studentdata[[#This Row],[Evening 2025 Enrolled]]="Yes"),"Yes","")</f>
        <v>Yes</v>
      </c>
    </row>
    <row r="316" spans="1:28" x14ac:dyDescent="0.25">
      <c r="A316" s="190">
        <v>43011</v>
      </c>
      <c r="B316" s="67" t="s">
        <v>45</v>
      </c>
      <c r="C316" s="67"/>
      <c r="I316" s="67"/>
      <c r="J316" s="67"/>
      <c r="M316" s="80">
        <v>318</v>
      </c>
      <c r="N316" s="191" t="s">
        <v>409</v>
      </c>
      <c r="O316" s="192">
        <v>199</v>
      </c>
      <c r="P316" s="191" t="s">
        <v>410</v>
      </c>
      <c r="Q316" s="193">
        <v>6465415532</v>
      </c>
      <c r="R316" s="191" t="s">
        <v>411</v>
      </c>
      <c r="S316" s="67">
        <v>6468988290</v>
      </c>
      <c r="T316" s="80" t="s">
        <v>56</v>
      </c>
      <c r="U316" s="80" t="s">
        <v>80</v>
      </c>
      <c r="V316" s="177" t="s">
        <v>48</v>
      </c>
      <c r="W316" s="80" t="str">
        <f>IF(OR(studentdata[[#This Row],[Weekend 2025]]&lt;&gt;""),"Yes","")</f>
        <v>Yes</v>
      </c>
      <c r="X316" s="80">
        <v>16</v>
      </c>
      <c r="Y316" s="80" t="str">
        <f>IF(OR(studentdata[[#This Row],[Evening 2025]]&lt;&gt;""),"Yes","")</f>
        <v/>
      </c>
      <c r="Z316" s="80"/>
      <c r="AA316" s="80"/>
      <c r="AB316" s="80" t="str">
        <f>IF(OR(studentdata[[#This Row],[Weekend 2025 Enrolled]]="Yes",studentdata[[#This Row],[Evening 2025 Enrolled]]="Yes"),"Yes","")</f>
        <v>Yes</v>
      </c>
    </row>
    <row r="317" spans="1:28" x14ac:dyDescent="0.25">
      <c r="C317" s="67"/>
      <c r="I317" s="67"/>
      <c r="J317" s="67"/>
      <c r="M317" s="80">
        <v>319</v>
      </c>
      <c r="N317" s="67" t="s">
        <v>734</v>
      </c>
      <c r="O317" s="80"/>
      <c r="T317" s="80" t="s">
        <v>56</v>
      </c>
      <c r="U317" s="80"/>
      <c r="V317" s="177" t="s">
        <v>48</v>
      </c>
      <c r="W317" s="80" t="str">
        <f>IF(OR(studentdata[[#This Row],[Weekend 2025]]&lt;&gt;""),"Yes","")</f>
        <v/>
      </c>
      <c r="X317" s="80"/>
      <c r="Y317" s="80" t="str">
        <f>IF(OR(studentdata[[#This Row],[Evening 2025]]&lt;&gt;""),"Yes","")</f>
        <v/>
      </c>
      <c r="Z317" s="80"/>
      <c r="AA317" s="80"/>
      <c r="AB317" s="80" t="str">
        <f>IF(OR(studentdata[[#This Row],[Weekend 2025 Enrolled]]="Yes",studentdata[[#This Row],[Evening 2025 Enrolled]]="Yes"),"Yes","")</f>
        <v/>
      </c>
    </row>
    <row r="318" spans="1:28" x14ac:dyDescent="0.25">
      <c r="C318" s="67"/>
      <c r="I318" s="67"/>
      <c r="J318" s="67"/>
      <c r="M318" s="80">
        <v>320</v>
      </c>
      <c r="N318" s="67" t="s">
        <v>1327</v>
      </c>
      <c r="O318" s="80"/>
      <c r="P318" s="67" t="s">
        <v>1328</v>
      </c>
      <c r="Q318" s="67">
        <v>3137688330</v>
      </c>
      <c r="R318" s="67" t="s">
        <v>1329</v>
      </c>
      <c r="S318" s="67">
        <v>5866460722</v>
      </c>
      <c r="T318" s="80" t="s">
        <v>56</v>
      </c>
      <c r="U318" s="80"/>
      <c r="V318" s="177" t="s">
        <v>137</v>
      </c>
      <c r="W318" s="80" t="str">
        <f>IF(OR(studentdata[[#This Row],[Weekend 2025]]&lt;&gt;""),"Yes","")</f>
        <v>Yes</v>
      </c>
      <c r="X318" s="80">
        <v>14</v>
      </c>
      <c r="Y318" s="80" t="str">
        <f>IF(OR(studentdata[[#This Row],[Evening 2025]]&lt;&gt;""),"Yes","")</f>
        <v/>
      </c>
      <c r="Z318" s="80"/>
      <c r="AA318" s="80"/>
      <c r="AB318" s="80" t="str">
        <f>IF(OR(studentdata[[#This Row],[Weekend 2025 Enrolled]]="Yes",studentdata[[#This Row],[Evening 2025 Enrolled]]="Yes"),"Yes","")</f>
        <v>Yes</v>
      </c>
    </row>
    <row r="319" spans="1:28" x14ac:dyDescent="0.25">
      <c r="B319" s="67">
        <v>1</v>
      </c>
      <c r="C319" s="67"/>
      <c r="I319" s="67"/>
      <c r="J319" s="67"/>
      <c r="M319" s="80">
        <v>321</v>
      </c>
      <c r="N319" s="67" t="s">
        <v>902</v>
      </c>
      <c r="O319" s="80"/>
      <c r="T319" s="80" t="s">
        <v>56</v>
      </c>
      <c r="U319" s="80"/>
      <c r="V319" s="177"/>
      <c r="W319" s="80" t="str">
        <f>IF(OR(studentdata[[#This Row],[Weekend 2025]]&lt;&gt;""),"Yes","")</f>
        <v/>
      </c>
      <c r="X319" s="80"/>
      <c r="Y319" s="80" t="str">
        <f>IF(OR(studentdata[[#This Row],[Evening 2025]]&lt;&gt;""),"Yes","")</f>
        <v/>
      </c>
      <c r="Z319" s="80"/>
      <c r="AA319" s="80"/>
      <c r="AB319" s="80" t="str">
        <f>IF(OR(studentdata[[#This Row],[Weekend 2025 Enrolled]]="Yes",studentdata[[#This Row],[Evening 2025 Enrolled]]="Yes"),"Yes","")</f>
        <v/>
      </c>
    </row>
    <row r="320" spans="1:28" x14ac:dyDescent="0.25">
      <c r="B320" s="67">
        <v>2</v>
      </c>
      <c r="C320" s="67"/>
      <c r="I320" s="67"/>
      <c r="J320" s="67"/>
      <c r="M320" s="80">
        <v>322</v>
      </c>
      <c r="N320" s="67" t="s">
        <v>1113</v>
      </c>
      <c r="O320" s="80"/>
      <c r="T320" s="80" t="s">
        <v>46</v>
      </c>
      <c r="U320" s="80"/>
      <c r="V320" s="177"/>
      <c r="W320" s="80" t="str">
        <f>IF(OR(studentdata[[#This Row],[Weekend 2025]]&lt;&gt;""),"Yes","")</f>
        <v/>
      </c>
      <c r="X320" s="80"/>
      <c r="Y320" s="80" t="str">
        <f>IF(OR(studentdata[[#This Row],[Evening 2025]]&lt;&gt;""),"Yes","")</f>
        <v/>
      </c>
      <c r="Z320" s="80"/>
      <c r="AA320" s="80"/>
      <c r="AB320" s="80" t="str">
        <f>IF(OR(studentdata[[#This Row],[Weekend 2025 Enrolled]]="Yes",studentdata[[#This Row],[Evening 2025 Enrolled]]="Yes"),"Yes","")</f>
        <v/>
      </c>
    </row>
    <row r="321" spans="1:28" x14ac:dyDescent="0.25">
      <c r="A321" s="190">
        <v>42881</v>
      </c>
      <c r="B321" s="67">
        <v>2</v>
      </c>
      <c r="C321" s="67" t="s">
        <v>99</v>
      </c>
      <c r="D321" s="67" t="s">
        <v>68</v>
      </c>
      <c r="E321" s="67" t="s">
        <v>69</v>
      </c>
      <c r="F321" s="67">
        <v>48089</v>
      </c>
      <c r="H321" s="67" t="s">
        <v>100</v>
      </c>
      <c r="I321" s="67" t="s">
        <v>101</v>
      </c>
      <c r="J321" s="67"/>
      <c r="K321" s="67">
        <v>13139999345</v>
      </c>
      <c r="M321" s="80">
        <v>325</v>
      </c>
      <c r="N321" s="67" t="s">
        <v>96</v>
      </c>
      <c r="O321" s="80">
        <v>202</v>
      </c>
      <c r="P321" s="67" t="s">
        <v>97</v>
      </c>
      <c r="Q321" s="67">
        <v>3137075251</v>
      </c>
      <c r="R321" s="67" t="s">
        <v>98</v>
      </c>
      <c r="S321" s="67">
        <v>3479937949</v>
      </c>
      <c r="T321" s="80" t="s">
        <v>46</v>
      </c>
      <c r="U321" s="80" t="s">
        <v>80</v>
      </c>
      <c r="V321" s="177"/>
      <c r="W321" s="80" t="str">
        <f>IF(OR(studentdata[[#This Row],[Weekend 2025]]&lt;&gt;""),"Yes","")</f>
        <v/>
      </c>
      <c r="X321" s="80"/>
      <c r="Y321" s="80" t="str">
        <f>IF(OR(studentdata[[#This Row],[Evening 2025]]&lt;&gt;""),"Yes","")</f>
        <v>Yes</v>
      </c>
      <c r="Z321" s="80">
        <v>11</v>
      </c>
      <c r="AA321" s="80"/>
      <c r="AB321" s="80" t="str">
        <f>IF(OR(studentdata[[#This Row],[Weekend 2025 Enrolled]]="Yes",studentdata[[#This Row],[Evening 2025 Enrolled]]="Yes"),"Yes","")</f>
        <v>Yes</v>
      </c>
    </row>
    <row r="322" spans="1:28" x14ac:dyDescent="0.25">
      <c r="A322" s="190">
        <v>43329</v>
      </c>
      <c r="C322" s="67"/>
      <c r="I322" s="67"/>
      <c r="J322" s="67"/>
      <c r="M322" s="80">
        <v>326</v>
      </c>
      <c r="N322" s="67" t="s">
        <v>903</v>
      </c>
      <c r="O322" s="80">
        <v>183</v>
      </c>
      <c r="P322" s="67" t="s">
        <v>300</v>
      </c>
      <c r="Q322" s="67">
        <v>3133189073</v>
      </c>
      <c r="T322" s="80" t="s">
        <v>56</v>
      </c>
      <c r="U322" s="80" t="s">
        <v>95</v>
      </c>
      <c r="V322" s="177"/>
      <c r="W322" s="80" t="str">
        <f>IF(OR(studentdata[[#This Row],[Weekend 2025]]&lt;&gt;""),"Yes","")</f>
        <v/>
      </c>
      <c r="X322" s="80"/>
      <c r="Y322" s="80" t="str">
        <f>IF(OR(studentdata[[#This Row],[Evening 2025]]&lt;&gt;""),"Yes","")</f>
        <v/>
      </c>
      <c r="Z322" s="80"/>
      <c r="AA322" s="80"/>
      <c r="AB322" s="80" t="str">
        <f>IF(OR(studentdata[[#This Row],[Weekend 2025 Enrolled]]="Yes",studentdata[[#This Row],[Evening 2025 Enrolled]]="Yes"),"Yes","")</f>
        <v/>
      </c>
    </row>
    <row r="323" spans="1:28" x14ac:dyDescent="0.25">
      <c r="A323" s="190">
        <v>43814</v>
      </c>
      <c r="C323" s="67"/>
      <c r="I323" s="67"/>
      <c r="J323" s="67"/>
      <c r="M323" s="80">
        <v>327</v>
      </c>
      <c r="N323" s="67" t="s">
        <v>1114</v>
      </c>
      <c r="O323" s="80">
        <v>195</v>
      </c>
      <c r="P323" s="67" t="s">
        <v>1115</v>
      </c>
      <c r="Q323" s="67">
        <v>9296068467</v>
      </c>
      <c r="R323" s="67" t="s">
        <v>1116</v>
      </c>
      <c r="S323" s="67">
        <v>2986350947</v>
      </c>
      <c r="T323" s="80" t="s">
        <v>46</v>
      </c>
      <c r="U323" s="80" t="s">
        <v>57</v>
      </c>
      <c r="V323" s="177"/>
      <c r="W323" s="80" t="str">
        <f>IF(OR(studentdata[[#This Row],[Weekend 2025]]&lt;&gt;""),"Yes","")</f>
        <v/>
      </c>
      <c r="X323" s="80"/>
      <c r="Y323" s="80" t="str">
        <f>IF(OR(studentdata[[#This Row],[Evening 2025]]&lt;&gt;""),"Yes","")</f>
        <v/>
      </c>
      <c r="Z323" s="80"/>
      <c r="AA323" s="80"/>
      <c r="AB323" s="80" t="str">
        <f>IF(OR(studentdata[[#This Row],[Weekend 2025 Enrolled]]="Yes",studentdata[[#This Row],[Evening 2025 Enrolled]]="Yes"),"Yes","")</f>
        <v/>
      </c>
    </row>
    <row r="324" spans="1:28" x14ac:dyDescent="0.25">
      <c r="A324" s="190">
        <v>42670</v>
      </c>
      <c r="C324" s="67"/>
      <c r="I324" s="67"/>
      <c r="J324" s="67"/>
      <c r="M324" s="80">
        <v>328</v>
      </c>
      <c r="N324" s="67" t="s">
        <v>904</v>
      </c>
      <c r="O324" s="80">
        <v>183</v>
      </c>
      <c r="P324" s="67" t="s">
        <v>300</v>
      </c>
      <c r="Q324" s="67">
        <v>3133189073</v>
      </c>
      <c r="T324" s="80" t="s">
        <v>56</v>
      </c>
      <c r="U324" s="80" t="s">
        <v>52</v>
      </c>
      <c r="V324" s="177"/>
      <c r="W324" s="80" t="str">
        <f>IF(OR(studentdata[[#This Row],[Weekend 2025]]&lt;&gt;""),"Yes","")</f>
        <v/>
      </c>
      <c r="X324" s="80"/>
      <c r="Y324" s="80" t="str">
        <f>IF(OR(studentdata[[#This Row],[Evening 2025]]&lt;&gt;""),"Yes","")</f>
        <v/>
      </c>
      <c r="Z324" s="80"/>
      <c r="AA324" s="80"/>
      <c r="AB324" s="80" t="str">
        <f>IF(OR(studentdata[[#This Row],[Weekend 2025 Enrolled]]="Yes",studentdata[[#This Row],[Evening 2025 Enrolled]]="Yes"),"Yes","")</f>
        <v/>
      </c>
    </row>
    <row r="325" spans="1:28" x14ac:dyDescent="0.25">
      <c r="C325" s="67"/>
      <c r="I325" s="67"/>
      <c r="J325" s="67"/>
      <c r="M325" s="80">
        <v>329</v>
      </c>
      <c r="N325" s="67" t="s">
        <v>1117</v>
      </c>
      <c r="O325" s="80">
        <v>181</v>
      </c>
      <c r="P325" s="67" t="s">
        <v>926</v>
      </c>
      <c r="Q325" s="67">
        <v>3133184199</v>
      </c>
      <c r="T325" s="80" t="s">
        <v>46</v>
      </c>
      <c r="U325" s="80" t="s">
        <v>109</v>
      </c>
      <c r="V325" s="177"/>
      <c r="W325" s="80" t="str">
        <f>IF(OR(studentdata[[#This Row],[Weekend 2025]]&lt;&gt;""),"Yes","")</f>
        <v/>
      </c>
      <c r="X325" s="80"/>
      <c r="Y325" s="80" t="str">
        <f>IF(OR(studentdata[[#This Row],[Evening 2025]]&lt;&gt;""),"Yes","")</f>
        <v/>
      </c>
      <c r="Z325" s="80"/>
      <c r="AA325" s="80"/>
      <c r="AB325" s="80" t="str">
        <f>IF(OR(studentdata[[#This Row],[Weekend 2025 Enrolled]]="Yes",studentdata[[#This Row],[Evening 2025 Enrolled]]="Yes"),"Yes","")</f>
        <v/>
      </c>
    </row>
    <row r="326" spans="1:28" x14ac:dyDescent="0.25">
      <c r="A326" s="190">
        <v>41502</v>
      </c>
      <c r="B326" s="194">
        <v>3</v>
      </c>
      <c r="C326" s="67"/>
      <c r="I326" s="67"/>
      <c r="J326" s="67"/>
      <c r="M326" s="80">
        <v>330</v>
      </c>
      <c r="N326" s="67" t="s">
        <v>58</v>
      </c>
      <c r="O326" s="80">
        <v>203</v>
      </c>
      <c r="P326" s="67" t="s">
        <v>59</v>
      </c>
      <c r="Q326" s="67">
        <v>3475533962</v>
      </c>
      <c r="R326" s="67" t="s">
        <v>60</v>
      </c>
      <c r="S326" s="67">
        <v>2124702008</v>
      </c>
      <c r="T326" s="80" t="s">
        <v>56</v>
      </c>
      <c r="U326" s="80" t="s">
        <v>61</v>
      </c>
      <c r="V326" s="177"/>
      <c r="W326" s="80" t="str">
        <f>IF(OR(studentdata[[#This Row],[Weekend 2025]]&lt;&gt;""),"Yes","")</f>
        <v/>
      </c>
      <c r="X326" s="80"/>
      <c r="Y326" s="80" t="str">
        <f>IF(OR(studentdata[[#This Row],[Evening 2025]]&lt;&gt;""),"Yes","")</f>
        <v>Yes</v>
      </c>
      <c r="Z326" s="80">
        <v>12</v>
      </c>
      <c r="AA326" s="80"/>
      <c r="AB326" s="80" t="str">
        <f>IF(OR(studentdata[[#This Row],[Weekend 2025 Enrolled]]="Yes",studentdata[[#This Row],[Evening 2025 Enrolled]]="Yes"),"Yes","")</f>
        <v>Yes</v>
      </c>
    </row>
    <row r="327" spans="1:28" x14ac:dyDescent="0.25">
      <c r="A327" s="190">
        <v>43027</v>
      </c>
      <c r="B327" s="67" t="s">
        <v>1118</v>
      </c>
      <c r="C327" s="67"/>
      <c r="I327" s="67"/>
      <c r="J327" s="67"/>
      <c r="M327" s="80">
        <v>331</v>
      </c>
      <c r="N327" s="67" t="s">
        <v>1119</v>
      </c>
      <c r="O327" s="80">
        <v>197</v>
      </c>
      <c r="P327" s="67" t="s">
        <v>1120</v>
      </c>
      <c r="Q327" s="67">
        <v>5868593273</v>
      </c>
      <c r="R327" s="67" t="s">
        <v>1121</v>
      </c>
      <c r="S327" s="67">
        <v>3137757326</v>
      </c>
      <c r="T327" s="80" t="s">
        <v>46</v>
      </c>
      <c r="U327" s="80" t="s">
        <v>80</v>
      </c>
      <c r="V327" s="177"/>
      <c r="W327" s="80" t="str">
        <f>IF(OR(studentdata[[#This Row],[Weekend 2025]]&lt;&gt;""),"Yes","")</f>
        <v/>
      </c>
      <c r="X327" s="80"/>
      <c r="Y327" s="80" t="str">
        <f>IF(OR(studentdata[[#This Row],[Evening 2025]]&lt;&gt;""),"Yes","")</f>
        <v/>
      </c>
      <c r="Z327" s="80"/>
      <c r="AA327" s="80"/>
      <c r="AB327" s="80" t="str">
        <f>IF(OR(studentdata[[#This Row],[Weekend 2025 Enrolled]]="Yes",studentdata[[#This Row],[Evening 2025 Enrolled]]="Yes"),"Yes","")</f>
        <v/>
      </c>
    </row>
    <row r="328" spans="1:28" x14ac:dyDescent="0.25">
      <c r="A328" s="190">
        <v>43706</v>
      </c>
      <c r="C328" s="67"/>
      <c r="I328" s="67"/>
      <c r="J328" s="67"/>
      <c r="M328" s="80">
        <v>332</v>
      </c>
      <c r="N328" s="67" t="s">
        <v>53</v>
      </c>
      <c r="O328" s="80">
        <v>204</v>
      </c>
      <c r="P328" s="67" t="s">
        <v>54</v>
      </c>
      <c r="Q328" s="67">
        <v>5864476936</v>
      </c>
      <c r="R328" s="67" t="s">
        <v>55</v>
      </c>
      <c r="S328" s="67">
        <v>3132903310</v>
      </c>
      <c r="T328" s="80" t="s">
        <v>56</v>
      </c>
      <c r="U328" s="80" t="s">
        <v>57</v>
      </c>
      <c r="V328" s="177"/>
      <c r="W328" s="80" t="str">
        <f>IF(OR(studentdata[[#This Row],[Weekend 2025]]&lt;&gt;""),"Yes","")</f>
        <v/>
      </c>
      <c r="X328" s="80"/>
      <c r="Y328" s="80" t="str">
        <f>IF(OR(studentdata[[#This Row],[Evening 2025]]&lt;&gt;""),"Yes","")</f>
        <v>Yes</v>
      </c>
      <c r="Z328" s="80">
        <v>15</v>
      </c>
      <c r="AA328" s="80"/>
      <c r="AB328" s="80" t="str">
        <f>IF(OR(studentdata[[#This Row],[Weekend 2025 Enrolled]]="Yes",studentdata[[#This Row],[Evening 2025 Enrolled]]="Yes"),"Yes","")</f>
        <v>Yes</v>
      </c>
    </row>
    <row r="329" spans="1:28" x14ac:dyDescent="0.25">
      <c r="A329" s="190">
        <v>41708</v>
      </c>
      <c r="C329" s="67"/>
      <c r="I329" s="67"/>
      <c r="J329" s="67"/>
      <c r="M329" s="80">
        <v>333</v>
      </c>
      <c r="N329" s="67" t="s">
        <v>905</v>
      </c>
      <c r="O329" s="80">
        <v>183</v>
      </c>
      <c r="P329" s="67" t="s">
        <v>300</v>
      </c>
      <c r="Q329" s="67">
        <v>3133189073</v>
      </c>
      <c r="T329" s="80" t="s">
        <v>56</v>
      </c>
      <c r="U329" s="80" t="s">
        <v>156</v>
      </c>
      <c r="V329" s="177"/>
      <c r="W329" s="80" t="str">
        <f>IF(OR(studentdata[[#This Row],[Weekend 2025]]&lt;&gt;""),"Yes","")</f>
        <v/>
      </c>
      <c r="X329" s="80"/>
      <c r="Y329" s="80" t="str">
        <f>IF(OR(studentdata[[#This Row],[Evening 2025]]&lt;&gt;""),"Yes","")</f>
        <v/>
      </c>
      <c r="Z329" s="80"/>
      <c r="AA329" s="80"/>
      <c r="AB329" s="80" t="str">
        <f>IF(OR(studentdata[[#This Row],[Weekend 2025 Enrolled]]="Yes",studentdata[[#This Row],[Evening 2025 Enrolled]]="Yes"),"Yes","")</f>
        <v/>
      </c>
    </row>
    <row r="330" spans="1:28" x14ac:dyDescent="0.25">
      <c r="A330" s="190">
        <v>44174</v>
      </c>
      <c r="C330" s="67"/>
      <c r="I330" s="67"/>
      <c r="J330" s="67"/>
      <c r="M330" s="80">
        <v>334</v>
      </c>
      <c r="N330" s="67" t="s">
        <v>87</v>
      </c>
      <c r="O330" s="80">
        <v>204</v>
      </c>
      <c r="P330" s="67" t="s">
        <v>88</v>
      </c>
      <c r="Q330" s="67">
        <v>5864476936</v>
      </c>
      <c r="R330" s="67" t="s">
        <v>55</v>
      </c>
      <c r="S330" s="67">
        <v>3132903310</v>
      </c>
      <c r="T330" s="80" t="s">
        <v>46</v>
      </c>
      <c r="U330" s="80" t="s">
        <v>47</v>
      </c>
      <c r="V330" s="177"/>
      <c r="W330" s="80" t="str">
        <f>IF(OR(studentdata[[#This Row],[Weekend 2025]]&lt;&gt;""),"Yes","")</f>
        <v/>
      </c>
      <c r="X330" s="80"/>
      <c r="Y330" s="80" t="str">
        <f>IF(OR(studentdata[[#This Row],[Evening 2025]]&lt;&gt;""),"Yes","")</f>
        <v>Yes</v>
      </c>
      <c r="Z330" s="80">
        <v>18</v>
      </c>
      <c r="AA330" s="80"/>
      <c r="AB330" s="80" t="str">
        <f>IF(OR(studentdata[[#This Row],[Weekend 2025 Enrolled]]="Yes",studentdata[[#This Row],[Evening 2025 Enrolled]]="Yes"),"Yes","")</f>
        <v>Yes</v>
      </c>
    </row>
    <row r="331" spans="1:28" x14ac:dyDescent="0.25">
      <c r="A331" s="190">
        <v>41516</v>
      </c>
      <c r="B331" s="67" t="s">
        <v>162</v>
      </c>
      <c r="C331" s="67"/>
      <c r="I331" s="67"/>
      <c r="J331" s="67"/>
      <c r="M331" s="80">
        <v>335</v>
      </c>
      <c r="N331" s="67" t="s">
        <v>919</v>
      </c>
      <c r="O331" s="80">
        <v>205</v>
      </c>
      <c r="P331" s="67" t="s">
        <v>425</v>
      </c>
      <c r="Q331" s="67">
        <v>2485610933</v>
      </c>
      <c r="R331" s="67" t="s">
        <v>426</v>
      </c>
      <c r="S331" s="67">
        <v>2392650493</v>
      </c>
      <c r="T331" s="80" t="s">
        <v>46</v>
      </c>
      <c r="U331" s="80" t="s">
        <v>52</v>
      </c>
      <c r="V331" s="177">
        <v>4</v>
      </c>
      <c r="W331" s="80" t="str">
        <f>IF(OR(studentdata[[#This Row],[Weekend 2025]]&lt;&gt;""),"Yes","")</f>
        <v/>
      </c>
      <c r="X331" s="80"/>
      <c r="Y331" s="80" t="str">
        <f>IF(OR(studentdata[[#This Row],[Evening 2025]]&lt;&gt;""),"Yes","")</f>
        <v/>
      </c>
      <c r="Z331" s="80"/>
      <c r="AA331" s="80"/>
      <c r="AB331" s="80" t="str">
        <f>IF(OR(studentdata[[#This Row],[Weekend 2025 Enrolled]]="Yes",studentdata[[#This Row],[Evening 2025 Enrolled]]="Yes"),"Yes","")</f>
        <v/>
      </c>
    </row>
    <row r="332" spans="1:28" x14ac:dyDescent="0.25">
      <c r="A332" s="190">
        <v>43018</v>
      </c>
      <c r="B332" s="67" t="s">
        <v>45</v>
      </c>
      <c r="C332" s="67"/>
      <c r="I332" s="67"/>
      <c r="J332" s="67"/>
      <c r="M332" s="80">
        <v>336</v>
      </c>
      <c r="N332" s="67" t="s">
        <v>424</v>
      </c>
      <c r="O332" s="80">
        <v>205</v>
      </c>
      <c r="P332" s="67" t="s">
        <v>425</v>
      </c>
      <c r="Q332" s="67">
        <v>2485610933</v>
      </c>
      <c r="R332" s="67" t="s">
        <v>426</v>
      </c>
      <c r="S332" s="67">
        <v>2392650493</v>
      </c>
      <c r="T332" s="80" t="s">
        <v>56</v>
      </c>
      <c r="U332" s="80" t="s">
        <v>80</v>
      </c>
      <c r="V332" s="177" t="s">
        <v>48</v>
      </c>
      <c r="W332" s="80" t="str">
        <f>IF(OR(studentdata[[#This Row],[Weekend 2025]]&lt;&gt;""),"Yes","")</f>
        <v>Yes</v>
      </c>
      <c r="X332" s="80">
        <v>21</v>
      </c>
      <c r="Y332" s="80" t="str">
        <f>IF(OR(studentdata[[#This Row],[Evening 2025]]&lt;&gt;""),"Yes","")</f>
        <v/>
      </c>
      <c r="Z332" s="80"/>
      <c r="AA332" s="80"/>
      <c r="AB332" s="80" t="str">
        <f>IF(OR(studentdata[[#This Row],[Weekend 2025 Enrolled]]="Yes",studentdata[[#This Row],[Evening 2025 Enrolled]]="Yes"),"Yes","")</f>
        <v>Yes</v>
      </c>
    </row>
    <row r="333" spans="1:28" x14ac:dyDescent="0.25">
      <c r="A333" s="190">
        <v>43956</v>
      </c>
      <c r="C333" s="67"/>
      <c r="I333" s="67"/>
      <c r="J333" s="67"/>
      <c r="M333" s="80">
        <v>337</v>
      </c>
      <c r="N333" s="67" t="s">
        <v>1122</v>
      </c>
      <c r="O333" s="80">
        <v>206</v>
      </c>
      <c r="P333" s="67" t="s">
        <v>1123</v>
      </c>
      <c r="Q333" s="67">
        <v>7477770364</v>
      </c>
      <c r="R333" s="67" t="s">
        <v>1124</v>
      </c>
      <c r="S333" s="67">
        <v>7473883761</v>
      </c>
      <c r="T333" s="80" t="s">
        <v>46</v>
      </c>
      <c r="U333" s="80" t="s">
        <v>47</v>
      </c>
      <c r="V333" s="177"/>
      <c r="W333" s="80" t="str">
        <f>IF(OR(studentdata[[#This Row],[Weekend 2025]]&lt;&gt;""),"Yes","")</f>
        <v/>
      </c>
      <c r="X333" s="80"/>
      <c r="Y333" s="80" t="str">
        <f>IF(OR(studentdata[[#This Row],[Evening 2025]]&lt;&gt;""),"Yes","")</f>
        <v/>
      </c>
      <c r="Z333" s="80"/>
      <c r="AA333" s="80"/>
      <c r="AB333" s="80" t="str">
        <f>IF(OR(studentdata[[#This Row],[Weekend 2025 Enrolled]]="Yes",studentdata[[#This Row],[Evening 2025 Enrolled]]="Yes"),"Yes","")</f>
        <v/>
      </c>
    </row>
    <row r="334" spans="1:28" x14ac:dyDescent="0.25">
      <c r="A334" s="190">
        <v>42501</v>
      </c>
      <c r="C334" s="67"/>
      <c r="I334" s="67"/>
      <c r="J334" s="67"/>
      <c r="M334" s="80">
        <v>338</v>
      </c>
      <c r="N334" s="67" t="s">
        <v>51</v>
      </c>
      <c r="O334" s="80">
        <v>207</v>
      </c>
      <c r="P334" s="67" t="s">
        <v>43</v>
      </c>
      <c r="Q334" s="67">
        <v>3134559518</v>
      </c>
      <c r="R334" s="67" t="s">
        <v>44</v>
      </c>
      <c r="S334" s="67">
        <v>9173041330</v>
      </c>
      <c r="T334" s="80" t="s">
        <v>46</v>
      </c>
      <c r="U334" s="80" t="s">
        <v>52</v>
      </c>
      <c r="V334" s="177" t="s">
        <v>48</v>
      </c>
      <c r="W334" s="80" t="str">
        <f>IF(OR(studentdata[[#This Row],[Weekend 2025]]&lt;&gt;""),"Yes","")</f>
        <v/>
      </c>
      <c r="X334" s="80"/>
      <c r="Y334" s="80" t="str">
        <f>IF(OR(studentdata[[#This Row],[Evening 2025]]&lt;&gt;""),"Yes","")</f>
        <v>Yes</v>
      </c>
      <c r="Z334" s="80">
        <v>16</v>
      </c>
      <c r="AA334" s="80"/>
      <c r="AB334" s="80" t="str">
        <f>IF(OR(studentdata[[#This Row],[Weekend 2025 Enrolled]]="Yes",studentdata[[#This Row],[Evening 2025 Enrolled]]="Yes"),"Yes","")</f>
        <v>Yes</v>
      </c>
    </row>
    <row r="335" spans="1:28" x14ac:dyDescent="0.25">
      <c r="A335" s="190">
        <v>44742</v>
      </c>
      <c r="B335" s="67" t="s">
        <v>45</v>
      </c>
      <c r="C335" s="67"/>
      <c r="I335" s="67"/>
      <c r="J335" s="67"/>
      <c r="M335" s="80">
        <v>339</v>
      </c>
      <c r="N335" s="67" t="s">
        <v>42</v>
      </c>
      <c r="O335" s="80">
        <v>207</v>
      </c>
      <c r="P335" s="67" t="s">
        <v>43</v>
      </c>
      <c r="Q335" s="67">
        <v>3134559518</v>
      </c>
      <c r="R335" s="67" t="s">
        <v>44</v>
      </c>
      <c r="S335" s="67">
        <v>9173041330</v>
      </c>
      <c r="T335" s="80" t="s">
        <v>46</v>
      </c>
      <c r="U335" s="80" t="s">
        <v>47</v>
      </c>
      <c r="V335" s="177" t="s">
        <v>48</v>
      </c>
      <c r="W335" s="80" t="str">
        <f>IF(OR(studentdata[[#This Row],[Weekend 2025]]&lt;&gt;""),"Yes","")</f>
        <v/>
      </c>
      <c r="X335" s="80"/>
      <c r="Y335" s="80" t="str">
        <f>IF(OR(studentdata[[#This Row],[Evening 2025]]&lt;&gt;""),"Yes","")</f>
        <v>Yes</v>
      </c>
      <c r="Z335" s="80">
        <v>17</v>
      </c>
      <c r="AA335" s="80"/>
      <c r="AB335" s="80" t="str">
        <f>IF(OR(studentdata[[#This Row],[Weekend 2025 Enrolled]]="Yes",studentdata[[#This Row],[Evening 2025 Enrolled]]="Yes"),"Yes","")</f>
        <v>Yes</v>
      </c>
    </row>
    <row r="336" spans="1:28" x14ac:dyDescent="0.25">
      <c r="A336" s="190">
        <v>42255</v>
      </c>
      <c r="C336" s="67"/>
      <c r="I336" s="67"/>
      <c r="J336" s="67"/>
      <c r="M336" s="80">
        <v>340</v>
      </c>
      <c r="N336" s="67" t="s">
        <v>664</v>
      </c>
      <c r="O336" s="80">
        <v>208</v>
      </c>
      <c r="P336" s="67" t="s">
        <v>665</v>
      </c>
      <c r="Q336" s="67">
        <v>9294347493</v>
      </c>
      <c r="R336" s="67" t="s">
        <v>665</v>
      </c>
      <c r="S336" s="67">
        <v>9294348222</v>
      </c>
      <c r="T336" s="80" t="s">
        <v>46</v>
      </c>
      <c r="U336" s="80" t="s">
        <v>85</v>
      </c>
      <c r="V336" s="177" t="s">
        <v>137</v>
      </c>
      <c r="W336" s="177" t="str">
        <f>IF(OR(studentdata[[#This Row],[Weekend 2025]]&lt;&gt;""),"Yes","")</f>
        <v>Yes</v>
      </c>
      <c r="X336" s="80">
        <v>14</v>
      </c>
      <c r="Y336" s="80" t="str">
        <f>IF(OR(studentdata[[#This Row],[Evening 2025]]&lt;&gt;""),"Yes","")</f>
        <v/>
      </c>
      <c r="Z336" s="80"/>
      <c r="AA336" s="80"/>
      <c r="AB336" s="80" t="str">
        <f>IF(OR(studentdata[[#This Row],[Weekend 2025 Enrolled]]="Yes",studentdata[[#This Row],[Evening 2025 Enrolled]]="Yes"),"Yes","")</f>
        <v>Yes</v>
      </c>
    </row>
    <row r="337" spans="1:28" x14ac:dyDescent="0.25">
      <c r="A337" s="190">
        <v>40212</v>
      </c>
      <c r="B337" s="67" t="s">
        <v>162</v>
      </c>
      <c r="C337" s="67"/>
      <c r="I337" s="67"/>
      <c r="J337" s="67"/>
      <c r="M337" s="80">
        <v>341</v>
      </c>
      <c r="N337" s="67" t="s">
        <v>585</v>
      </c>
      <c r="O337" s="80">
        <v>209</v>
      </c>
      <c r="P337" s="67" t="s">
        <v>586</v>
      </c>
      <c r="Q337" s="67">
        <v>7342057769</v>
      </c>
      <c r="R337" s="67" t="s">
        <v>587</v>
      </c>
      <c r="S337" s="67">
        <v>2487970507</v>
      </c>
      <c r="T337" s="80" t="s">
        <v>46</v>
      </c>
      <c r="U337" s="80" t="s">
        <v>190</v>
      </c>
      <c r="V337" s="177">
        <v>3</v>
      </c>
      <c r="W337" s="177" t="str">
        <f>IF(OR(studentdata[[#This Row],[Weekend 2025]]&lt;&gt;""),"Yes","")</f>
        <v>Yes</v>
      </c>
      <c r="X337" s="80">
        <v>14</v>
      </c>
      <c r="Y337" s="80" t="str">
        <f>IF(OR(studentdata[[#This Row],[Evening 2025]]&lt;&gt;""),"Yes","")</f>
        <v/>
      </c>
      <c r="Z337" s="80"/>
      <c r="AA337" s="80"/>
      <c r="AB337" s="80" t="str">
        <f>IF(OR(studentdata[[#This Row],[Weekend 2025 Enrolled]]="Yes",studentdata[[#This Row],[Evening 2025 Enrolled]]="Yes"),"Yes","")</f>
        <v>Yes</v>
      </c>
    </row>
    <row r="338" spans="1:28" x14ac:dyDescent="0.25">
      <c r="A338" s="190">
        <v>41616</v>
      </c>
      <c r="C338" s="67"/>
      <c r="I338" s="67"/>
      <c r="J338" s="67"/>
      <c r="M338" s="80">
        <v>342</v>
      </c>
      <c r="N338" s="67" t="s">
        <v>699</v>
      </c>
      <c r="O338" s="80">
        <v>209</v>
      </c>
      <c r="P338" s="67" t="s">
        <v>586</v>
      </c>
      <c r="Q338" s="67">
        <v>7342057769</v>
      </c>
      <c r="R338" s="67" t="s">
        <v>587</v>
      </c>
      <c r="S338" s="67">
        <v>2487970507</v>
      </c>
      <c r="T338" s="80" t="s">
        <v>46</v>
      </c>
      <c r="U338" s="80" t="s">
        <v>109</v>
      </c>
      <c r="V338" s="177" t="s">
        <v>142</v>
      </c>
      <c r="W338" s="177" t="str">
        <f>IF(OR(studentdata[[#This Row],[Weekend 2025]]&lt;&gt;""),"Yes","")</f>
        <v>Yes</v>
      </c>
      <c r="X338" s="80">
        <v>14</v>
      </c>
      <c r="Y338" s="80" t="str">
        <f>IF(OR(studentdata[[#This Row],[Evening 2025]]&lt;&gt;""),"Yes","")</f>
        <v/>
      </c>
      <c r="Z338" s="80"/>
      <c r="AA338" s="80"/>
      <c r="AB338" s="80" t="str">
        <f>IF(OR(studentdata[[#This Row],[Weekend 2025 Enrolled]]="Yes",studentdata[[#This Row],[Evening 2025 Enrolled]]="Yes"),"Yes","")</f>
        <v>Yes</v>
      </c>
    </row>
    <row r="339" spans="1:28" x14ac:dyDescent="0.25">
      <c r="A339" s="190">
        <v>43373</v>
      </c>
      <c r="C339" s="67"/>
      <c r="I339" s="67"/>
      <c r="J339" s="67"/>
      <c r="M339" s="80">
        <v>343</v>
      </c>
      <c r="N339" s="67" t="s">
        <v>638</v>
      </c>
      <c r="O339" s="80">
        <v>209</v>
      </c>
      <c r="P339" s="67" t="s">
        <v>586</v>
      </c>
      <c r="Q339" s="67">
        <v>7342057769</v>
      </c>
      <c r="R339" s="67" t="s">
        <v>587</v>
      </c>
      <c r="S339" s="67">
        <v>2487970507</v>
      </c>
      <c r="T339" s="80" t="s">
        <v>46</v>
      </c>
      <c r="U339" s="80" t="s">
        <v>57</v>
      </c>
      <c r="V339" s="177" t="s">
        <v>48</v>
      </c>
      <c r="W339" s="177" t="str">
        <f>IF(OR(studentdata[[#This Row],[Weekend 2025]]&lt;&gt;""),"Yes","")</f>
        <v>Yes</v>
      </c>
      <c r="X339" s="80">
        <v>13</v>
      </c>
      <c r="Y339" s="80" t="str">
        <f>IF(OR(studentdata[[#This Row],[Evening 2025]]&lt;&gt;""),"Yes","")</f>
        <v/>
      </c>
      <c r="Z339" s="80"/>
      <c r="AA339" s="80"/>
      <c r="AB339" s="80" t="str">
        <f>IF(OR(studentdata[[#This Row],[Weekend 2025 Enrolled]]="Yes",studentdata[[#This Row],[Evening 2025 Enrolled]]="Yes"),"Yes","")</f>
        <v>Yes</v>
      </c>
    </row>
    <row r="340" spans="1:28" x14ac:dyDescent="0.25">
      <c r="A340" s="190">
        <v>43344</v>
      </c>
      <c r="C340" s="67"/>
      <c r="I340" s="67"/>
      <c r="J340" s="67"/>
      <c r="M340" s="80">
        <v>344</v>
      </c>
      <c r="N340" s="67" t="s">
        <v>925</v>
      </c>
      <c r="O340" s="80">
        <v>181</v>
      </c>
      <c r="P340" s="67" t="s">
        <v>926</v>
      </c>
      <c r="Q340" s="67">
        <v>3133184199</v>
      </c>
      <c r="T340" s="80" t="s">
        <v>46</v>
      </c>
      <c r="U340" s="80" t="s">
        <v>57</v>
      </c>
      <c r="V340" s="177" t="s">
        <v>48</v>
      </c>
      <c r="W340" s="177" t="str">
        <f>IF(OR(studentdata[[#This Row],[Weekend 2025]]&lt;&gt;""),"Yes","")</f>
        <v/>
      </c>
      <c r="X340" s="80"/>
      <c r="Y340" s="80" t="str">
        <f>IF(OR(studentdata[[#This Row],[Evening 2025]]&lt;&gt;""),"Yes","")</f>
        <v/>
      </c>
      <c r="Z340" s="80"/>
      <c r="AA340" s="80"/>
      <c r="AB340" s="80" t="str">
        <f>IF(OR(studentdata[[#This Row],[Weekend 2025 Enrolled]]="Yes",studentdata[[#This Row],[Evening 2025 Enrolled]]="Yes"),"Yes","")</f>
        <v/>
      </c>
    </row>
    <row r="341" spans="1:28" x14ac:dyDescent="0.25">
      <c r="A341" s="190">
        <v>43193</v>
      </c>
      <c r="C341" s="67"/>
      <c r="I341" s="67"/>
      <c r="J341" s="67"/>
      <c r="M341" s="80">
        <v>345</v>
      </c>
      <c r="N341" s="67" t="s">
        <v>378</v>
      </c>
      <c r="O341" s="80">
        <v>210</v>
      </c>
      <c r="P341" s="67" t="s">
        <v>379</v>
      </c>
      <c r="Q341" s="67">
        <v>2487815560</v>
      </c>
      <c r="R341" s="67" t="s">
        <v>380</v>
      </c>
      <c r="S341" s="67">
        <v>3137688330</v>
      </c>
      <c r="T341" s="80" t="s">
        <v>56</v>
      </c>
      <c r="U341" s="80" t="s">
        <v>95</v>
      </c>
      <c r="V341" s="177" t="s">
        <v>48</v>
      </c>
      <c r="W341" s="177" t="str">
        <f>IF(OR(studentdata[[#This Row],[Weekend 2025]]&lt;&gt;""),"Yes","")</f>
        <v>Yes</v>
      </c>
      <c r="X341" s="80">
        <v>3</v>
      </c>
      <c r="Y341" s="80" t="str">
        <f>IF(OR(studentdata[[#This Row],[Evening 2025]]&lt;&gt;""),"Yes","")</f>
        <v/>
      </c>
      <c r="Z341" s="80"/>
      <c r="AA341" s="80"/>
      <c r="AB341" s="80" t="str">
        <f>IF(OR(studentdata[[#This Row],[Weekend 2025 Enrolled]]="Yes",studentdata[[#This Row],[Evening 2025 Enrolled]]="Yes"),"Yes","")</f>
        <v>Yes</v>
      </c>
    </row>
    <row r="342" spans="1:28" x14ac:dyDescent="0.25">
      <c r="A342" s="190">
        <v>43598</v>
      </c>
      <c r="C342" s="67"/>
      <c r="I342" s="67"/>
      <c r="J342" s="67"/>
      <c r="M342" s="80">
        <v>346</v>
      </c>
      <c r="N342" s="67" t="s">
        <v>635</v>
      </c>
      <c r="O342" s="80">
        <v>211</v>
      </c>
      <c r="P342" s="67" t="s">
        <v>636</v>
      </c>
      <c r="Q342" s="67">
        <v>3134439011</v>
      </c>
      <c r="R342" s="67" t="s">
        <v>637</v>
      </c>
      <c r="S342" s="67">
        <v>5864389990</v>
      </c>
      <c r="T342" s="80" t="s">
        <v>46</v>
      </c>
      <c r="U342" s="80"/>
      <c r="V342" s="177" t="s">
        <v>48</v>
      </c>
      <c r="W342" s="177" t="str">
        <f>IF(OR(studentdata[[#This Row],[Weekend 2025]]&lt;&gt;""),"Yes","")</f>
        <v>Yes</v>
      </c>
      <c r="X342" s="80">
        <v>12</v>
      </c>
      <c r="Y342" s="80" t="str">
        <f>IF(OR(studentdata[[#This Row],[Evening 2025]]&lt;&gt;""),"Yes","")</f>
        <v/>
      </c>
      <c r="Z342" s="80"/>
      <c r="AA342" s="80"/>
      <c r="AB342" s="80" t="str">
        <f>IF(OR(studentdata[[#This Row],[Weekend 2025 Enrolled]]="Yes",studentdata[[#This Row],[Evening 2025 Enrolled]]="Yes"),"Yes","")</f>
        <v>Yes</v>
      </c>
    </row>
    <row r="343" spans="1:28" x14ac:dyDescent="0.25">
      <c r="B343" s="67" t="s">
        <v>162</v>
      </c>
      <c r="C343" s="67"/>
      <c r="I343" s="67"/>
      <c r="J343" s="67"/>
      <c r="M343" s="80">
        <v>347</v>
      </c>
      <c r="N343" s="67" t="s">
        <v>550</v>
      </c>
      <c r="O343" s="80">
        <v>212</v>
      </c>
      <c r="P343" s="67" t="s">
        <v>551</v>
      </c>
      <c r="Q343" s="67">
        <v>3134194287</v>
      </c>
      <c r="R343" s="67" t="s">
        <v>552</v>
      </c>
      <c r="S343" s="67">
        <v>3134194287</v>
      </c>
      <c r="T343" s="80" t="s">
        <v>46</v>
      </c>
      <c r="U343" s="80"/>
      <c r="V343" s="177">
        <v>3</v>
      </c>
      <c r="W343" s="177" t="str">
        <f>IF(OR(studentdata[[#This Row],[Weekend 2025]]&lt;&gt;""),"Yes","")</f>
        <v>Yes</v>
      </c>
      <c r="X343" s="80">
        <v>2</v>
      </c>
      <c r="Y343" s="80" t="str">
        <f>IF(OR(studentdata[[#This Row],[Evening 2025]]&lt;&gt;""),"Yes","")</f>
        <v/>
      </c>
      <c r="Z343" s="80"/>
      <c r="AA343" s="80"/>
      <c r="AB343" s="80" t="str">
        <f>IF(OR(studentdata[[#This Row],[Weekend 2025 Enrolled]]="Yes",studentdata[[#This Row],[Evening 2025 Enrolled]]="Yes"),"Yes","")</f>
        <v>Yes</v>
      </c>
    </row>
    <row r="344" spans="1:28" x14ac:dyDescent="0.25">
      <c r="A344" s="190">
        <v>43886</v>
      </c>
      <c r="C344" s="67"/>
      <c r="I344" s="67"/>
      <c r="J344" s="67"/>
      <c r="M344" s="80">
        <v>348</v>
      </c>
      <c r="N344" s="67" t="s">
        <v>382</v>
      </c>
      <c r="O344" s="80">
        <v>213</v>
      </c>
      <c r="P344" s="67" t="s">
        <v>376</v>
      </c>
      <c r="Q344" s="67">
        <v>3136030394</v>
      </c>
      <c r="R344" s="67" t="s">
        <v>377</v>
      </c>
      <c r="S344" s="67">
        <v>5864954739</v>
      </c>
      <c r="T344" s="80" t="s">
        <v>56</v>
      </c>
      <c r="U344" s="80" t="s">
        <v>171</v>
      </c>
      <c r="V344" s="177" t="s">
        <v>48</v>
      </c>
      <c r="W344" s="177" t="str">
        <f>IF(OR(studentdata[[#This Row],[Weekend 2025]]&lt;&gt;""),"Yes","")</f>
        <v>Yes</v>
      </c>
      <c r="X344" s="80">
        <v>5</v>
      </c>
      <c r="Y344" s="80" t="str">
        <f>IF(OR(studentdata[[#This Row],[Evening 2025]]&lt;&gt;""),"Yes","")</f>
        <v/>
      </c>
      <c r="Z344" s="80"/>
      <c r="AA344" s="80"/>
      <c r="AB344" s="80" t="str">
        <f>IF(OR(studentdata[[#This Row],[Weekend 2025 Enrolled]]="Yes",studentdata[[#This Row],[Evening 2025 Enrolled]]="Yes"),"Yes","")</f>
        <v>Yes</v>
      </c>
    </row>
    <row r="345" spans="1:28" x14ac:dyDescent="0.25">
      <c r="A345" s="190">
        <v>43886</v>
      </c>
      <c r="C345" s="67"/>
      <c r="I345" s="67"/>
      <c r="J345" s="67"/>
      <c r="M345" s="80">
        <v>349</v>
      </c>
      <c r="N345" s="67" t="s">
        <v>375</v>
      </c>
      <c r="O345" s="80">
        <v>213</v>
      </c>
      <c r="P345" s="67" t="s">
        <v>376</v>
      </c>
      <c r="Q345" s="67">
        <v>3136030394</v>
      </c>
      <c r="R345" s="67" t="s">
        <v>377</v>
      </c>
      <c r="S345" s="67">
        <v>5864954739</v>
      </c>
      <c r="T345" s="80" t="s">
        <v>56</v>
      </c>
      <c r="U345" s="80" t="s">
        <v>47</v>
      </c>
      <c r="V345" s="177" t="s">
        <v>48</v>
      </c>
      <c r="W345" s="177" t="str">
        <f>IF(OR(studentdata[[#This Row],[Weekend 2025]]&lt;&gt;""),"Yes","")</f>
        <v>Yes</v>
      </c>
      <c r="X345" s="80">
        <v>2</v>
      </c>
      <c r="Y345" s="80" t="str">
        <f>IF(OR(studentdata[[#This Row],[Evening 2025]]&lt;&gt;""),"Yes","")</f>
        <v/>
      </c>
      <c r="Z345" s="80"/>
      <c r="AA345" s="80"/>
      <c r="AB345" s="80" t="str">
        <f>IF(OR(studentdata[[#This Row],[Weekend 2025 Enrolled]]="Yes",studentdata[[#This Row],[Evening 2025 Enrolled]]="Yes"),"Yes","")</f>
        <v>Yes</v>
      </c>
    </row>
    <row r="346" spans="1:28" x14ac:dyDescent="0.25">
      <c r="C346" s="67"/>
      <c r="I346" s="67"/>
      <c r="J346" s="67"/>
      <c r="M346" s="80">
        <v>350</v>
      </c>
      <c r="N346" s="67" t="s">
        <v>371</v>
      </c>
      <c r="O346" s="80">
        <v>97</v>
      </c>
      <c r="P346" s="67" t="s">
        <v>670</v>
      </c>
      <c r="Q346" s="67">
        <v>3477127929</v>
      </c>
      <c r="R346" s="67" t="s">
        <v>671</v>
      </c>
      <c r="S346" s="67">
        <v>5513267434</v>
      </c>
      <c r="T346" s="80" t="s">
        <v>56</v>
      </c>
      <c r="U346" s="80"/>
      <c r="V346" s="177">
        <v>4</v>
      </c>
      <c r="W346" s="177" t="str">
        <f>IF(OR(studentdata[[#This Row],[Weekend 2025]]&lt;&gt;""),"Yes","")</f>
        <v>Yes</v>
      </c>
      <c r="X346" s="80">
        <v>17</v>
      </c>
      <c r="Y346" s="80" t="str">
        <f>IF(OR(studentdata[[#This Row],[Evening 2025]]&lt;&gt;""),"Yes","")</f>
        <v/>
      </c>
      <c r="Z346" s="80"/>
      <c r="AA346" s="80"/>
      <c r="AB346" s="80" t="str">
        <f>IF(OR(studentdata[[#This Row],[Weekend 2025 Enrolled]]="Yes",studentdata[[#This Row],[Evening 2025 Enrolled]]="Yes"),"Yes","")</f>
        <v>Yes</v>
      </c>
    </row>
    <row r="347" spans="1:28" x14ac:dyDescent="0.25">
      <c r="C347" s="67"/>
      <c r="I347" s="67"/>
      <c r="J347" s="67"/>
      <c r="M347" s="80">
        <v>351</v>
      </c>
      <c r="N347" s="67" t="s">
        <v>423</v>
      </c>
      <c r="O347" s="80">
        <v>212</v>
      </c>
      <c r="P347" s="67" t="s">
        <v>551</v>
      </c>
      <c r="Q347" s="67">
        <v>3134194287</v>
      </c>
      <c r="R347" s="67" t="s">
        <v>552</v>
      </c>
      <c r="S347" s="67">
        <v>3134194287</v>
      </c>
      <c r="T347" s="80" t="s">
        <v>56</v>
      </c>
      <c r="U347" s="80"/>
      <c r="V347" s="177" t="s">
        <v>48</v>
      </c>
      <c r="W347" s="177" t="str">
        <f>IF(OR(studentdata[[#This Row],[Weekend 2025]]&lt;&gt;""),"Yes","")</f>
        <v>Yes</v>
      </c>
      <c r="X347" s="80">
        <v>20</v>
      </c>
      <c r="Y347" s="80" t="str">
        <f>IF(OR(studentdata[[#This Row],[Evening 2025]]&lt;&gt;""),"Yes","")</f>
        <v/>
      </c>
      <c r="Z347" s="80"/>
      <c r="AA347" s="80"/>
      <c r="AB347" s="80" t="str">
        <f>IF(OR(studentdata[[#This Row],[Weekend 2025 Enrolled]]="Yes",studentdata[[#This Row],[Evening 2025 Enrolled]]="Yes"),"Yes","")</f>
        <v>Yes</v>
      </c>
    </row>
    <row r="348" spans="1:28" x14ac:dyDescent="0.25">
      <c r="C348" s="67"/>
      <c r="I348" s="67"/>
      <c r="J348" s="67"/>
      <c r="M348" s="80">
        <v>352</v>
      </c>
      <c r="N348" s="67" t="s">
        <v>383</v>
      </c>
      <c r="O348" s="80">
        <v>212</v>
      </c>
      <c r="P348" s="67" t="s">
        <v>551</v>
      </c>
      <c r="Q348" s="67">
        <v>3134194287</v>
      </c>
      <c r="R348" s="67" t="s">
        <v>552</v>
      </c>
      <c r="S348" s="67">
        <v>3134194287</v>
      </c>
      <c r="T348" s="80" t="s">
        <v>56</v>
      </c>
      <c r="U348" s="80"/>
      <c r="V348" s="177" t="s">
        <v>48</v>
      </c>
      <c r="W348" s="177" t="str">
        <f>IF(OR(studentdata[[#This Row],[Weekend 2025]]&lt;&gt;""),"Yes","")</f>
        <v>Yes</v>
      </c>
      <c r="X348" s="80">
        <v>6</v>
      </c>
      <c r="Y348" s="80" t="str">
        <f>IF(OR(studentdata[[#This Row],[Evening 2025]]&lt;&gt;""),"Yes","")</f>
        <v/>
      </c>
      <c r="Z348" s="80"/>
      <c r="AA348" s="80"/>
      <c r="AB348" s="80" t="str">
        <f>IF(OR(studentdata[[#This Row],[Weekend 2025 Enrolled]]="Yes",studentdata[[#This Row],[Evening 2025 Enrolled]]="Yes"),"Yes","")</f>
        <v>Yes</v>
      </c>
    </row>
    <row r="349" spans="1:28" x14ac:dyDescent="0.25">
      <c r="B349" s="67" t="s">
        <v>45</v>
      </c>
      <c r="C349" s="67"/>
      <c r="I349" s="67"/>
      <c r="J349" s="67"/>
      <c r="M349" s="80">
        <v>353</v>
      </c>
      <c r="N349" s="67" t="s">
        <v>178</v>
      </c>
      <c r="O349" s="80">
        <v>214</v>
      </c>
      <c r="P349" s="67" t="s">
        <v>179</v>
      </c>
      <c r="Q349" s="67">
        <v>3476132874</v>
      </c>
      <c r="R349" s="67" t="s">
        <v>180</v>
      </c>
      <c r="T349" s="80" t="s">
        <v>46</v>
      </c>
      <c r="U349" s="80" t="s">
        <v>171</v>
      </c>
      <c r="V349" s="177" t="s">
        <v>48</v>
      </c>
      <c r="W349" s="177" t="str">
        <f>IF(OR(studentdata[[#This Row],[Weekend 2025]]&lt;&gt;""),"Yes","")</f>
        <v>Yes</v>
      </c>
      <c r="X349" s="80">
        <v>15</v>
      </c>
      <c r="Y349" s="80" t="str">
        <f>IF(OR(studentdata[[#This Row],[Evening 2025]]&lt;&gt;""),"Yes","")</f>
        <v>Yes</v>
      </c>
      <c r="Z349" s="80">
        <v>50</v>
      </c>
      <c r="AA349" s="80"/>
      <c r="AB349" s="80" t="str">
        <f>IF(OR(studentdata[[#This Row],[Weekend 2025 Enrolled]]="Yes",studentdata[[#This Row],[Evening 2025 Enrolled]]="Yes"),"Yes","")</f>
        <v>Yes</v>
      </c>
    </row>
    <row r="350" spans="1:28" x14ac:dyDescent="0.25">
      <c r="B350" s="67" t="s">
        <v>278</v>
      </c>
      <c r="C350" s="67"/>
      <c r="I350" s="67"/>
      <c r="J350" s="67"/>
      <c r="M350" s="80">
        <v>354</v>
      </c>
      <c r="N350" s="67" t="s">
        <v>318</v>
      </c>
      <c r="O350" s="80">
        <v>215</v>
      </c>
      <c r="P350" s="67" t="s">
        <v>319</v>
      </c>
      <c r="Q350" s="67">
        <v>3475936362</v>
      </c>
      <c r="R350" s="67" t="s">
        <v>320</v>
      </c>
      <c r="S350" s="67">
        <v>3133279557</v>
      </c>
      <c r="T350" s="80" t="s">
        <v>56</v>
      </c>
      <c r="U350" s="80" t="s">
        <v>156</v>
      </c>
      <c r="V350" s="177">
        <v>3</v>
      </c>
      <c r="W350" s="177" t="str">
        <f>IF(OR(studentdata[[#This Row],[Weekend 2025]]&lt;&gt;""),"Yes","")</f>
        <v>Yes</v>
      </c>
      <c r="X350" s="80">
        <v>16</v>
      </c>
      <c r="Y350" s="80" t="str">
        <f>IF(OR(studentdata[[#This Row],[Evening 2025]]&lt;&gt;""),"Yes","")</f>
        <v/>
      </c>
      <c r="Z350" s="80"/>
      <c r="AA350" s="80"/>
      <c r="AB350" s="80" t="str">
        <f>IF(OR(studentdata[[#This Row],[Weekend 2025 Enrolled]]="Yes",studentdata[[#This Row],[Evening 2025 Enrolled]]="Yes"),"Yes","")</f>
        <v>Yes</v>
      </c>
    </row>
    <row r="351" spans="1:28" x14ac:dyDescent="0.25">
      <c r="B351" s="67" t="s">
        <v>45</v>
      </c>
      <c r="C351" s="67"/>
      <c r="I351" s="67"/>
      <c r="J351" s="67"/>
      <c r="M351" s="80">
        <v>355</v>
      </c>
      <c r="N351" s="67" t="s">
        <v>700</v>
      </c>
      <c r="O351" s="80">
        <v>216</v>
      </c>
      <c r="P351" s="67" t="s">
        <v>701</v>
      </c>
      <c r="Q351" s="67">
        <v>5863444025</v>
      </c>
      <c r="R351" s="67" t="s">
        <v>702</v>
      </c>
      <c r="S351" s="67">
        <v>5866463563</v>
      </c>
      <c r="T351" s="80" t="s">
        <v>46</v>
      </c>
      <c r="U351" s="80" t="s">
        <v>190</v>
      </c>
      <c r="V351" s="177" t="s">
        <v>142</v>
      </c>
      <c r="W351" s="177" t="str">
        <f>IF(OR(studentdata[[#This Row],[Weekend 2025]]&lt;&gt;""),"Yes","")</f>
        <v>Yes</v>
      </c>
      <c r="X351" s="80">
        <v>50</v>
      </c>
      <c r="Y351" s="80" t="str">
        <f>IF(OR(studentdata[[#This Row],[Evening 2025]]&lt;&gt;""),"Yes","")</f>
        <v/>
      </c>
      <c r="Z351" s="80"/>
      <c r="AA351" s="80"/>
      <c r="AB351" s="80" t="str">
        <f>IF(OR(studentdata[[#This Row],[Weekend 2025 Enrolled]]="Yes",studentdata[[#This Row],[Evening 2025 Enrolled]]="Yes"),"Yes","")</f>
        <v>Yes</v>
      </c>
    </row>
    <row r="352" spans="1:28" x14ac:dyDescent="0.25">
      <c r="C352" s="67"/>
      <c r="I352" s="67"/>
      <c r="J352" s="67"/>
      <c r="M352" s="80">
        <v>356</v>
      </c>
      <c r="N352" s="67" t="s">
        <v>412</v>
      </c>
      <c r="O352" s="80">
        <v>217</v>
      </c>
      <c r="P352" s="67" t="s">
        <v>413</v>
      </c>
      <c r="Q352" s="67">
        <v>3137578149</v>
      </c>
      <c r="R352" s="67" t="s">
        <v>414</v>
      </c>
      <c r="S352" s="67">
        <v>2485547291</v>
      </c>
      <c r="T352" s="80" t="s">
        <v>56</v>
      </c>
      <c r="U352" s="80" t="s">
        <v>57</v>
      </c>
      <c r="V352" s="177" t="s">
        <v>48</v>
      </c>
      <c r="W352" s="177" t="str">
        <f>IF(OR(studentdata[[#This Row],[Weekend 2025]]&lt;&gt;""),"Yes","")</f>
        <v>Yes</v>
      </c>
      <c r="X352" s="80">
        <v>17</v>
      </c>
      <c r="Y352" s="80" t="str">
        <f>IF(OR(studentdata[[#This Row],[Evening 2025]]&lt;&gt;""),"Yes","")</f>
        <v/>
      </c>
      <c r="Z352" s="80"/>
      <c r="AA352" s="80"/>
      <c r="AB352" s="80" t="str">
        <f>IF(OR(studentdata[[#This Row],[Weekend 2025 Enrolled]]="Yes",studentdata[[#This Row],[Evening 2025 Enrolled]]="Yes"),"Yes","")</f>
        <v>Yes</v>
      </c>
    </row>
    <row r="353" spans="3:28" x14ac:dyDescent="0.25">
      <c r="C353" s="67"/>
      <c r="I353" s="67"/>
      <c r="J353" s="67"/>
      <c r="M353" s="80">
        <v>357</v>
      </c>
      <c r="N353" s="88" t="s">
        <v>713</v>
      </c>
      <c r="O353" s="80">
        <v>99</v>
      </c>
      <c r="P353" s="67" t="s">
        <v>297</v>
      </c>
      <c r="Q353" s="67">
        <v>13133189073</v>
      </c>
      <c r="R353" s="67" t="s">
        <v>298</v>
      </c>
      <c r="S353" s="67">
        <v>13133189073</v>
      </c>
      <c r="T353" s="80" t="s">
        <v>56</v>
      </c>
      <c r="U353" s="80" t="s">
        <v>190</v>
      </c>
      <c r="V353" s="177">
        <v>3</v>
      </c>
      <c r="W353" s="177" t="str">
        <f>IF(OR(studentdata[[#This Row],[Weekend 2025]]&lt;&gt;""),"Yes","")</f>
        <v/>
      </c>
      <c r="X353" s="80"/>
      <c r="Y353" s="80" t="str">
        <f>IF(OR(studentdata[[#This Row],[Evening 2025]]&lt;&gt;""),"Yes","")</f>
        <v/>
      </c>
      <c r="Z353" s="80"/>
      <c r="AA353" s="80"/>
      <c r="AB353" s="80" t="str">
        <f>IF(OR(studentdata[[#This Row],[Weekend 2025 Enrolled]]="Yes",studentdata[[#This Row],[Evening 2025 Enrolled]]="Yes"),"Yes","")</f>
        <v/>
      </c>
    </row>
    <row r="354" spans="3:28" x14ac:dyDescent="0.25">
      <c r="C354" s="67"/>
      <c r="I354" s="67"/>
      <c r="J354" s="67"/>
      <c r="M354" s="80">
        <v>358</v>
      </c>
      <c r="N354" s="67" t="s">
        <v>427</v>
      </c>
      <c r="O354" s="80">
        <v>73</v>
      </c>
      <c r="P354" s="67" t="s">
        <v>685</v>
      </c>
      <c r="Q354" s="67">
        <v>3134232232</v>
      </c>
      <c r="R354" s="67" t="s">
        <v>686</v>
      </c>
      <c r="S354" s="67">
        <v>3137880027</v>
      </c>
      <c r="T354" s="80" t="s">
        <v>56</v>
      </c>
      <c r="U354" s="80"/>
      <c r="V354" s="177" t="s">
        <v>48</v>
      </c>
      <c r="W354" s="177" t="str">
        <f>IF(OR(studentdata[[#This Row],[Weekend 2025]]&lt;&gt;""),"Yes","")</f>
        <v>Yes</v>
      </c>
      <c r="X354" s="80">
        <v>22</v>
      </c>
      <c r="Y354" s="80" t="str">
        <f>IF(OR(studentdata[[#This Row],[Evening 2025]]&lt;&gt;""),"Yes","")</f>
        <v/>
      </c>
      <c r="Z354" s="80"/>
      <c r="AA354" s="80"/>
      <c r="AB354" s="80" t="str">
        <f>IF(OR(studentdata[[#This Row],[Weekend 2025 Enrolled]]="Yes",studentdata[[#This Row],[Evening 2025 Enrolled]]="Yes"),"Yes","")</f>
        <v>Yes</v>
      </c>
    </row>
    <row r="355" spans="3:28" x14ac:dyDescent="0.25">
      <c r="C355" s="67"/>
      <c r="I355" s="67"/>
      <c r="J355" s="67"/>
      <c r="M355" s="80">
        <v>359</v>
      </c>
      <c r="N355" s="67" t="s">
        <v>1319</v>
      </c>
      <c r="O355" s="80">
        <v>221</v>
      </c>
      <c r="P355" s="67" t="s">
        <v>1320</v>
      </c>
      <c r="Q355" s="67">
        <v>2132496790</v>
      </c>
      <c r="R355" s="67" t="s">
        <v>1321</v>
      </c>
      <c r="S355" s="67">
        <v>2133361191</v>
      </c>
      <c r="T355" s="80" t="s">
        <v>56</v>
      </c>
      <c r="U355" s="80" t="s">
        <v>61</v>
      </c>
      <c r="V355" s="177" t="s">
        <v>48</v>
      </c>
      <c r="W355" s="177" t="str">
        <f>IF(OR(studentdata[[#This Row],[Weekend 2025]]&lt;&gt;""),"Yes","")</f>
        <v/>
      </c>
      <c r="X355" s="80"/>
      <c r="Y355" s="80" t="str">
        <f>IF(OR(studentdata[[#This Row],[Evening 2025]]&lt;&gt;""),"Yes","")</f>
        <v>Yes</v>
      </c>
      <c r="Z355" s="80">
        <v>50</v>
      </c>
      <c r="AA355" s="80"/>
      <c r="AB355" s="80" t="str">
        <f>IF(OR(studentdata[[#This Row],[Weekend 2025 Enrolled]]="Yes",studentdata[[#This Row],[Evening 2025 Enrolled]]="Yes"),"Yes","")</f>
        <v>Yes</v>
      </c>
    </row>
    <row r="356" spans="3:28" x14ac:dyDescent="0.25">
      <c r="C356" s="67"/>
      <c r="I356" s="67"/>
      <c r="J356" s="67"/>
      <c r="M356" s="80">
        <v>360</v>
      </c>
      <c r="N356" s="67" t="s">
        <v>321</v>
      </c>
      <c r="O356" s="80"/>
      <c r="Q356" s="67">
        <v>5864572936</v>
      </c>
      <c r="S356" s="67">
        <v>3137071965</v>
      </c>
      <c r="T356" s="80" t="s">
        <v>56</v>
      </c>
      <c r="U356" s="80"/>
      <c r="V356" s="177">
        <v>3</v>
      </c>
      <c r="W356" s="177" t="str">
        <f>IF(OR(studentdata[[#This Row],[Weekend 2025]]&lt;&gt;""),"Yes","")</f>
        <v>Yes</v>
      </c>
      <c r="X356" s="80">
        <v>17</v>
      </c>
      <c r="Y356" s="80" t="str">
        <f>IF(OR(studentdata[[#This Row],[Evening 2025]]&lt;&gt;""),"Yes","")</f>
        <v/>
      </c>
      <c r="Z356" s="80"/>
      <c r="AA356" s="80"/>
      <c r="AB356" s="80" t="str">
        <f>IF(OR(studentdata[[#This Row],[Weekend 2025 Enrolled]]="Yes",studentdata[[#This Row],[Evening 2025 Enrolled]]="Yes"),"Yes","")</f>
        <v>Yes</v>
      </c>
    </row>
    <row r="357" spans="3:28" x14ac:dyDescent="0.25">
      <c r="C357" s="67"/>
      <c r="I357" s="67"/>
      <c r="J357" s="67"/>
      <c r="M357" s="80">
        <v>361</v>
      </c>
      <c r="N357" s="67" t="s">
        <v>1323</v>
      </c>
      <c r="O357" s="80">
        <v>220</v>
      </c>
      <c r="P357" s="67" t="s">
        <v>1324</v>
      </c>
      <c r="Q357" s="67">
        <v>3134552916</v>
      </c>
      <c r="R357" s="67" t="s">
        <v>1325</v>
      </c>
      <c r="S357" s="67">
        <v>5862775685</v>
      </c>
      <c r="T357" s="80" t="s">
        <v>56</v>
      </c>
      <c r="U357" s="80"/>
      <c r="V357" s="177" t="s">
        <v>142</v>
      </c>
      <c r="W357" s="177" t="str">
        <f>IF(OR(studentdata[[#This Row],[Weekend 2025]]&lt;&gt;""),"Yes","")</f>
        <v>Yes</v>
      </c>
      <c r="X357" s="80">
        <v>50</v>
      </c>
      <c r="Y357" s="80" t="str">
        <f>IF(OR(studentdata[[#This Row],[Evening 2025]]&lt;&gt;""),"Yes","")</f>
        <v/>
      </c>
      <c r="Z357" s="80"/>
      <c r="AA357" s="80"/>
      <c r="AB357" s="80" t="str">
        <f>IF(OR(studentdata[[#This Row],[Weekend 2025 Enrolled]]="Yes",studentdata[[#This Row],[Evening 2025 Enrolled]]="Yes"),"Yes","")</f>
        <v>Yes</v>
      </c>
    </row>
    <row r="358" spans="3:28" x14ac:dyDescent="0.25">
      <c r="C358" s="67"/>
      <c r="I358" s="67"/>
      <c r="J358" s="67"/>
      <c r="M358" s="80">
        <v>362</v>
      </c>
      <c r="N358" s="67" t="s">
        <v>1339</v>
      </c>
      <c r="O358" s="80">
        <v>222</v>
      </c>
      <c r="P358" s="67" t="s">
        <v>1330</v>
      </c>
      <c r="R358" s="67" t="s">
        <v>1331</v>
      </c>
      <c r="S358" s="67">
        <v>2124705523</v>
      </c>
      <c r="T358" s="80" t="s">
        <v>46</v>
      </c>
      <c r="U358" s="80" t="s">
        <v>156</v>
      </c>
      <c r="V358" s="177">
        <v>3</v>
      </c>
      <c r="W358" s="177" t="str">
        <f>IF(OR(studentdata[[#This Row],[Weekend 2025]]&lt;&gt;""),"Yes","")</f>
        <v/>
      </c>
      <c r="X358" s="80"/>
      <c r="Y358" s="80" t="str">
        <f>IF(OR(studentdata[[#This Row],[Evening 2025]]&lt;&gt;""),"Yes","")</f>
        <v>Yes</v>
      </c>
      <c r="Z358" s="80">
        <v>50</v>
      </c>
      <c r="AA358" s="80"/>
      <c r="AB358" s="80" t="str">
        <f>IF(OR(studentdata[[#This Row],[Weekend 2025 Enrolled]]="Yes",studentdata[[#This Row],[Evening 2025 Enrolled]]="Yes"),"Yes","")</f>
        <v>Yes</v>
      </c>
    </row>
    <row r="359" spans="3:28" x14ac:dyDescent="0.25">
      <c r="C359" s="67"/>
      <c r="I359" s="67"/>
      <c r="J359" s="67"/>
      <c r="M359" s="80">
        <v>363</v>
      </c>
      <c r="N359" s="67" t="s">
        <v>1332</v>
      </c>
      <c r="O359" s="80">
        <v>218</v>
      </c>
      <c r="P359" s="67" t="s">
        <v>1333</v>
      </c>
      <c r="Q359" s="67">
        <v>5862021959</v>
      </c>
      <c r="R359" s="67" t="s">
        <v>1334</v>
      </c>
      <c r="S359" s="67">
        <v>5863821204</v>
      </c>
      <c r="T359" s="80" t="s">
        <v>46</v>
      </c>
      <c r="U359" s="80" t="s">
        <v>85</v>
      </c>
      <c r="V359" s="177">
        <v>3</v>
      </c>
      <c r="W359" s="177" t="str">
        <f>IF(OR(studentdata[[#This Row],[Weekend 2025]]&lt;&gt;""),"Yes","")</f>
        <v>Yes</v>
      </c>
      <c r="X359" s="80">
        <v>50</v>
      </c>
      <c r="Y359" s="80" t="str">
        <f>IF(OR(studentdata[[#This Row],[Evening 2025]]&lt;&gt;""),"Yes","")</f>
        <v/>
      </c>
      <c r="Z359" s="80"/>
      <c r="AA359" s="80"/>
      <c r="AB359" s="80" t="str">
        <f>IF(OR(studentdata[[#This Row],[Weekend 2025 Enrolled]]="Yes",studentdata[[#This Row],[Evening 2025 Enrolled]]="Yes"),"Yes","")</f>
        <v>Yes</v>
      </c>
    </row>
    <row r="360" spans="3:28" x14ac:dyDescent="0.25">
      <c r="C360" s="67"/>
      <c r="I360" s="67"/>
      <c r="J360" s="67"/>
      <c r="M360" s="80">
        <v>364</v>
      </c>
      <c r="N360" s="67" t="s">
        <v>1335</v>
      </c>
      <c r="O360" s="80">
        <v>218</v>
      </c>
      <c r="P360" s="67" t="s">
        <v>1333</v>
      </c>
      <c r="Q360" s="67">
        <v>5862021959</v>
      </c>
      <c r="R360" s="67" t="s">
        <v>1334</v>
      </c>
      <c r="S360" s="67">
        <v>5863821204</v>
      </c>
      <c r="T360" s="80" t="s">
        <v>46</v>
      </c>
      <c r="U360" s="80" t="s">
        <v>85</v>
      </c>
      <c r="V360" s="177">
        <v>2</v>
      </c>
      <c r="W360" s="177" t="str">
        <f>IF(OR(studentdata[[#This Row],[Weekend 2025]]&lt;&gt;""),"Yes","")</f>
        <v>Yes</v>
      </c>
      <c r="X360" s="80">
        <v>50</v>
      </c>
      <c r="Y360" s="80" t="str">
        <f>IF(OR(studentdata[[#This Row],[Evening 2025]]&lt;&gt;""),"Yes","")</f>
        <v/>
      </c>
      <c r="Z360" s="80"/>
      <c r="AA360" s="80"/>
      <c r="AB360" s="80" t="str">
        <f>IF(OR(studentdata[[#This Row],[Weekend 2025 Enrolled]]="Yes",studentdata[[#This Row],[Evening 2025 Enrolled]]="Yes"),"Yes","")</f>
        <v>Yes</v>
      </c>
    </row>
    <row r="361" spans="3:28" x14ac:dyDescent="0.25">
      <c r="C361" s="67"/>
      <c r="I361" s="67"/>
      <c r="J361" s="67"/>
      <c r="M361" s="80">
        <v>365</v>
      </c>
      <c r="N361" s="67" t="s">
        <v>1336</v>
      </c>
      <c r="O361" s="80">
        <v>219</v>
      </c>
      <c r="P361" s="67" t="s">
        <v>1337</v>
      </c>
      <c r="Q361" s="67">
        <v>9145652492</v>
      </c>
      <c r="R361" s="67" t="s">
        <v>1338</v>
      </c>
      <c r="S361" s="67">
        <v>3136619625</v>
      </c>
      <c r="T361" s="80" t="s">
        <v>56</v>
      </c>
      <c r="U361" s="80" t="s">
        <v>95</v>
      </c>
      <c r="V361" s="177" t="s">
        <v>48</v>
      </c>
      <c r="W361" s="177" t="str">
        <f>IF(OR(studentdata[[#This Row],[Weekend 2025]]&lt;&gt;""),"Yes","")</f>
        <v>Yes</v>
      </c>
      <c r="X361" s="80">
        <v>50</v>
      </c>
      <c r="Y361" s="80" t="str">
        <f>IF(OR(studentdata[[#This Row],[Evening 2025]]&lt;&gt;""),"Yes","")</f>
        <v/>
      </c>
      <c r="Z361" s="80"/>
      <c r="AA361" s="80"/>
      <c r="AB361" s="80" t="str">
        <f>IF(OR(studentdata[[#This Row],[Weekend 2025 Enrolled]]="Yes",studentdata[[#This Row],[Evening 2025 Enrolled]]="Yes"),"Yes","")</f>
        <v>Yes</v>
      </c>
    </row>
    <row r="362" spans="3:28" x14ac:dyDescent="0.25">
      <c r="C362" s="67"/>
      <c r="I362" s="67"/>
      <c r="J362" s="67"/>
      <c r="M362" s="80">
        <v>366</v>
      </c>
      <c r="N362" s="67" t="s">
        <v>1340</v>
      </c>
      <c r="O362" s="80"/>
      <c r="Q362" s="67">
        <v>5864572936</v>
      </c>
      <c r="S362" s="67">
        <v>3137071965</v>
      </c>
      <c r="T362" s="80" t="s">
        <v>56</v>
      </c>
      <c r="U362" s="80"/>
      <c r="V362" s="177">
        <v>4</v>
      </c>
      <c r="W362" s="177" t="str">
        <f>IF(OR(studentdata[[#This Row],[Weekend 2025]]&lt;&gt;""),"Yes","")</f>
        <v>Yes</v>
      </c>
      <c r="X362" s="80">
        <v>50</v>
      </c>
      <c r="Y362" s="80" t="str">
        <f>IF(OR(studentdata[[#This Row],[Evening 2025]]&lt;&gt;""),"Yes","")</f>
        <v/>
      </c>
      <c r="Z362" s="80"/>
      <c r="AA362" s="80"/>
      <c r="AB362" s="80" t="str">
        <f>IF(OR(studentdata[[#This Row],[Weekend 2025 Enrolled]]="Yes",studentdata[[#This Row],[Evening 2025 Enrolled]]="Yes"),"Yes","")</f>
        <v>Yes</v>
      </c>
    </row>
  </sheetData>
  <phoneticPr fontId="18" type="noConversion"/>
  <conditionalFormatting sqref="AA2:AA362">
    <cfRule type="containsText" dxfId="300" priority="7" operator="containsText" text="x">
      <formula>NOT(ISERROR(SEARCH("x",AA2)))</formula>
    </cfRule>
  </conditionalFormatting>
  <conditionalFormatting sqref="W1:W362 W379:W1048576 S362:S378 Y1:Y362 Y379:Y1048576 U362:U378">
    <cfRule type="containsText" dxfId="299" priority="5" operator="containsText" text="yes">
      <formula>NOT(ISERROR(SEARCH("yes",S1)))</formula>
    </cfRule>
  </conditionalFormatting>
  <conditionalFormatting sqref="N2:N362">
    <cfRule type="duplicateValues" dxfId="298" priority="22"/>
  </conditionalFormatting>
  <conditionalFormatting sqref="M2:M362">
    <cfRule type="duplicateValues" dxfId="297" priority="23"/>
  </conditionalFormatting>
  <conditionalFormatting sqref="S356">
    <cfRule type="containsText" dxfId="296" priority="1" operator="containsText" text="yes">
      <formula>NOT(ISERROR(SEARCH("yes",S356)))</formula>
    </cfRule>
  </conditionalFormatting>
  <printOptions horizontalCentered="1"/>
  <pageMargins left="0.25" right="0.25" top="0.25" bottom="0.25" header="0.25" footer="0.25"/>
  <pageSetup scale="44" fitToHeight="0" orientation="landscape" r:id="rId2"/>
  <headerFooter>
    <oddHeader>&amp;L&amp;20Page &amp;P of &amp;N&amp;C&amp;20studentdata&amp;R&amp;20&amp;D   |   &amp;T</oddHeader>
  </headerFooter>
  <drawing r:id="rId3"/>
  <legacyDrawing r:id="rId4"/>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78C3D03E-2661-4EF8-9898-E7258ACF529C}">
          <x14:formula1>
            <xm:f>settings!$G:$G</xm:f>
          </x14:formula1>
          <xm:sqref>T2:T362</xm:sqref>
        </x14:dataValidation>
        <x14:dataValidation type="list" allowBlank="1" showInputMessage="1" showErrorMessage="1" xr:uid="{B635025E-4C44-440B-A90D-F708C1ADE430}">
          <x14:formula1>
            <xm:f>settings!$F:$F</xm:f>
          </x14:formula1>
          <xm:sqref>V2:V362</xm:sqref>
        </x14:dataValidation>
      </x14:dataValidations>
    </ext>
    <ext xmlns:x15="http://schemas.microsoft.com/office/spreadsheetml/2010/11/main" uri="{3A4CF648-6AED-40f4-86FF-DC5316D8AED3}">
      <x14:slicerList xmlns:x14="http://schemas.microsoft.com/office/spreadsheetml/2009/9/main">
        <x14:slicer r:id="rId6"/>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F0459-1860-49C4-82E5-18C69FB28476}">
  <sheetPr codeName="Sheet13">
    <tabColor rgb="FF00B050"/>
    <pageSetUpPr fitToPage="1"/>
  </sheetPr>
  <dimension ref="A3:AO33"/>
  <sheetViews>
    <sheetView view="pageLayout" topLeftCell="A10" zoomScaleNormal="100" workbookViewId="0">
      <selection activeCell="H16" sqref="H16"/>
    </sheetView>
  </sheetViews>
  <sheetFormatPr defaultColWidth="1" defaultRowHeight="18" customHeight="1" x14ac:dyDescent="0.25"/>
  <cols>
    <col min="1" max="1" width="3.140625" customWidth="1"/>
    <col min="2" max="2" width="25.5703125" customWidth="1"/>
    <col min="3" max="3" width="4.85546875" style="6" customWidth="1"/>
    <col min="4" max="4" width="31.85546875" style="6" customWidth="1"/>
    <col min="5" max="5" width="12.7109375" style="6" customWidth="1"/>
    <col min="6" max="25" width="3.140625" customWidth="1"/>
    <col min="26" max="26" width="5.85546875" customWidth="1"/>
    <col min="27" max="40" width="3.42578125" customWidth="1"/>
  </cols>
  <sheetData>
    <row r="3" spans="1:41" ht="18" customHeight="1" x14ac:dyDescent="0.25">
      <c r="F3" s="203" t="s">
        <v>1125</v>
      </c>
      <c r="G3" s="203"/>
      <c r="H3" s="118"/>
      <c r="I3" s="118"/>
      <c r="J3" s="118"/>
      <c r="N3" s="203" t="s">
        <v>37</v>
      </c>
      <c r="O3" s="203"/>
      <c r="P3" s="203" t="s">
        <v>35</v>
      </c>
      <c r="Q3" s="203"/>
      <c r="R3" s="203" t="s">
        <v>24</v>
      </c>
      <c r="S3" s="203"/>
      <c r="T3" s="203" t="s">
        <v>1126</v>
      </c>
      <c r="U3" s="206"/>
      <c r="V3" s="206"/>
      <c r="W3" s="203" t="s">
        <v>1127</v>
      </c>
      <c r="X3" s="203"/>
      <c r="Y3" s="203"/>
    </row>
    <row r="4" spans="1:41" s="103" customFormat="1" ht="18" customHeight="1" x14ac:dyDescent="0.25">
      <c r="A4" s="104" t="str" cm="1">
        <f t="array" ref="A4">"Teacher: " &amp; IFERROR(
  INDEX(teachersetting[Teacher],
    MATCH(1,
      (teachersetting[Level]=N4) *
      (teachersetting[Gender]=P4) *
      (teachersetting[Shift]=T4),
    0)
  ), ""
)</f>
        <v xml:space="preserve">Teacher: </v>
      </c>
      <c r="B4" s="105"/>
      <c r="C4" s="107"/>
      <c r="D4" s="107"/>
      <c r="E4" s="107"/>
      <c r="F4" s="204">
        <v>46143</v>
      </c>
      <c r="G4" s="205"/>
      <c r="H4" s="108" t="str">
        <f>IF(I4&gt;0,"-"," ")</f>
        <v xml:space="preserve"> </v>
      </c>
      <c r="I4" s="205"/>
      <c r="J4" s="205"/>
      <c r="K4" s="107"/>
      <c r="L4" s="107"/>
      <c r="M4" s="107"/>
      <c r="N4" s="200"/>
      <c r="O4" s="200"/>
      <c r="P4" s="200" t="s">
        <v>46</v>
      </c>
      <c r="Q4" s="200"/>
      <c r="R4" s="200"/>
      <c r="S4" s="200"/>
      <c r="T4" s="202" t="s">
        <v>1158</v>
      </c>
      <c r="U4" s="202"/>
      <c r="V4" s="202"/>
      <c r="W4" s="200">
        <v>2025</v>
      </c>
      <c r="X4" s="200"/>
      <c r="Y4" s="201"/>
      <c r="AI4" s="102"/>
      <c r="AJ4" s="102"/>
      <c r="AK4"/>
      <c r="AL4"/>
      <c r="AM4"/>
      <c r="AN4"/>
      <c r="AO4"/>
    </row>
    <row r="5" spans="1:41" ht="18" customHeight="1" x14ac:dyDescent="0.25">
      <c r="A5" s="109" t="s">
        <v>1129</v>
      </c>
      <c r="B5" s="109" t="s">
        <v>17</v>
      </c>
      <c r="C5" s="110" t="s">
        <v>18</v>
      </c>
      <c r="D5" s="110" t="s">
        <v>1130</v>
      </c>
      <c r="E5" s="110" t="s">
        <v>20</v>
      </c>
      <c r="F5" s="111" cm="1">
        <f t="array" ref="F5:U5">_xlfn.LET(
    _xlpm.startDate, F4,
    _xlpm.endDate, IF(ISBLANK(I4), EOMONTH(F4,0), I4),
    _xlpm.allDates, _xlfn.SEQUENCE(_xlpm.endDate - _xlpm.startDate + 1,,_xlpm.startDate,1),
    _xlpm.dayNum, WEEKDAY(_xlpm.allDates,2),
    _xlpm.criteriaArray, _xlfn.XLOOKUP(T4, settings!X2:X4, settings!Y2:AB4, {0}, 0),
    _xlpm.condition, ISNUMBER(MATCH(_xlpm.dayNum, _xlpm.criteriaArray, 0)),
    _xlpm.filteredDates, _xlfn._xlws.FILTER(_xlpm.allDates, _xlpm.condition),
    TRANSPOSE(DAY(_xlpm.filteredDates))
)</f>
        <v>4</v>
      </c>
      <c r="G5" s="106">
        <v>5</v>
      </c>
      <c r="H5" s="106">
        <v>6</v>
      </c>
      <c r="I5" s="106">
        <v>7</v>
      </c>
      <c r="J5" s="106">
        <v>11</v>
      </c>
      <c r="K5" s="106">
        <v>12</v>
      </c>
      <c r="L5" s="106">
        <v>13</v>
      </c>
      <c r="M5" s="106">
        <v>14</v>
      </c>
      <c r="N5" s="106">
        <v>18</v>
      </c>
      <c r="O5" s="106">
        <v>19</v>
      </c>
      <c r="P5" s="106">
        <v>20</v>
      </c>
      <c r="Q5" s="106">
        <v>21</v>
      </c>
      <c r="R5" s="106">
        <v>25</v>
      </c>
      <c r="S5" s="106">
        <v>26</v>
      </c>
      <c r="T5" s="106">
        <v>27</v>
      </c>
      <c r="U5" s="106">
        <v>28</v>
      </c>
      <c r="V5" s="106"/>
      <c r="W5" s="106"/>
      <c r="X5" s="106"/>
      <c r="Y5" s="106"/>
    </row>
    <row r="6" spans="1:41" ht="18" customHeight="1" x14ac:dyDescent="0.25">
      <c r="A6" s="3" cm="1">
        <f t="array" aca="1" ref="A6:E27" ca="1">IF(
  _xlfn._xlws.SORT(
    _xlfn._xlws.FILTER(
      CHOOSE({1,2,3,4,5},
        INDIRECT("studentdata["&amp;T4&amp;" "&amp;W4&amp;"]"),
        studentdata[Name],
        studentdata[RG],
        studentdata[Father Name],
        studentdata[Father Phone]
      ),
      (
        (N4&lt;&gt;"") * (studentdata[Level]=N4) +
        (N4="") * 1
      ) *
      (
        (R4&lt;&gt;"") * (studentdata[Group]=R4) +
        (R4="") * 1
      ) *
      (
        (T4&lt;&gt;"") * (INDIRECT("studentdata["&amp;T4&amp;" "&amp;W4&amp;"]")&lt;&gt;"") +
        (T4="") * 1
      ) *
      (
        (P4&lt;&gt;"") * (studentdata[Gender]=P4) +
        (P4="") * 1
      )
    ),
    1,
    TRUE
  ) = 0,
  "",
  _xlfn._xlws.SORT(
    _xlfn._xlws.FILTER(
      CHOOSE({1,2,3,4,5},
        INDIRECT("studentdata["&amp;T4&amp;" "&amp;W4&amp;"]"),
        studentdata[Name],
        studentdata[RG],
        studentdata[Father Name],
        studentdata[Father Phone]
      ),
      (
        (N4&lt;&gt;"") * (studentdata[Level]=N4) +
        (N4="") * 1
      ) *
      (
        (R4&lt;&gt;"") * (studentdata[Group]=R4) +
        (R4="") * 1
      ) *
      (
        (T4&lt;&gt;"") * (INDIRECT("studentdata["&amp;T4&amp;" "&amp;W4&amp;"]")&lt;&gt;"") +
        (T4="") * 1
      ) *
      (
        (P4&lt;&gt;"") * (studentdata[Gender]=P4) +
        (P4="") * 1
      )
    ),
    1,
    TRUE
  )
)</f>
        <v>1</v>
      </c>
      <c r="B6" s="14" t="str">
        <f ca="1"/>
        <v>Aryan Samad</v>
      </c>
      <c r="C6" s="4">
        <f ca="1"/>
        <v>11</v>
      </c>
      <c r="D6" s="112" t="str">
        <f ca="1"/>
        <v>Abdus Samad</v>
      </c>
      <c r="E6" s="4">
        <f ca="1"/>
        <v>15862246316</v>
      </c>
      <c r="F6" s="5"/>
      <c r="G6" s="5"/>
      <c r="H6" s="5"/>
      <c r="I6" s="5"/>
      <c r="J6" s="5"/>
      <c r="K6" s="5"/>
      <c r="L6" s="5"/>
      <c r="M6" s="5"/>
      <c r="N6" s="5"/>
      <c r="O6" s="5"/>
      <c r="P6" s="5"/>
      <c r="Q6" s="5"/>
      <c r="R6" s="5"/>
      <c r="S6" s="5"/>
      <c r="T6" s="5"/>
      <c r="U6" s="5"/>
      <c r="V6" s="5"/>
      <c r="W6" s="5"/>
      <c r="X6" s="5"/>
      <c r="Y6" s="5"/>
    </row>
    <row r="7" spans="1:41" ht="18" customHeight="1" x14ac:dyDescent="0.25">
      <c r="A7" s="3">
        <f ca="1"/>
        <v>2</v>
      </c>
      <c r="B7" s="14" t="str">
        <f ca="1"/>
        <v>Ayaan Rahman</v>
      </c>
      <c r="C7" s="4">
        <f ca="1"/>
        <v>111</v>
      </c>
      <c r="D7" s="112" t="str">
        <f ca="1"/>
        <v>Rah Rahman</v>
      </c>
      <c r="E7" s="4">
        <f ca="1"/>
        <v>15715240210</v>
      </c>
      <c r="F7" s="5"/>
      <c r="G7" s="5"/>
      <c r="H7" s="5"/>
      <c r="I7" s="5"/>
      <c r="J7" s="5"/>
      <c r="K7" s="5"/>
      <c r="L7" s="5"/>
      <c r="M7" s="5"/>
      <c r="N7" s="5"/>
      <c r="O7" s="5"/>
      <c r="P7" s="5"/>
      <c r="Q7" s="5"/>
      <c r="R7" s="5"/>
      <c r="S7" s="5"/>
      <c r="T7" s="5"/>
      <c r="U7" s="5"/>
      <c r="V7" s="5"/>
      <c r="W7" s="5"/>
      <c r="X7" s="5"/>
      <c r="Y7" s="5"/>
    </row>
    <row r="8" spans="1:41" ht="18" customHeight="1" x14ac:dyDescent="0.25">
      <c r="A8" s="3">
        <f ca="1"/>
        <v>3</v>
      </c>
      <c r="B8" s="14" t="str">
        <f ca="1"/>
        <v>Habibur Rahman</v>
      </c>
      <c r="C8" s="4">
        <f ca="1"/>
        <v>90</v>
      </c>
      <c r="D8" s="112" t="str">
        <f ca="1"/>
        <v>Mohammad Hifzur Rahman</v>
      </c>
      <c r="E8" s="4">
        <f ca="1"/>
        <v>13136031479</v>
      </c>
      <c r="F8" s="5"/>
      <c r="G8" s="5"/>
      <c r="H8" s="5"/>
      <c r="I8" s="5"/>
      <c r="J8" s="5"/>
      <c r="K8" s="5"/>
      <c r="L8" s="5"/>
      <c r="M8" s="5"/>
      <c r="N8" s="5"/>
      <c r="O8" s="5"/>
      <c r="P8" s="5"/>
      <c r="Q8" s="5"/>
      <c r="R8" s="5"/>
      <c r="S8" s="5"/>
      <c r="T8" s="5"/>
      <c r="U8" s="5"/>
      <c r="V8" s="5"/>
      <c r="W8" s="5"/>
      <c r="X8" s="5"/>
      <c r="Y8" s="5"/>
    </row>
    <row r="9" spans="1:41" ht="18" customHeight="1" x14ac:dyDescent="0.25">
      <c r="A9" s="3">
        <f ca="1"/>
        <v>4</v>
      </c>
      <c r="B9" s="14" t="str">
        <f ca="1"/>
        <v>Iffath Ahmed</v>
      </c>
      <c r="C9" s="4">
        <f ca="1"/>
        <v>151</v>
      </c>
      <c r="D9" s="112" t="str">
        <f ca="1"/>
        <v>Kabir Ahmed</v>
      </c>
      <c r="E9" s="4">
        <f ca="1"/>
        <v>13136030562</v>
      </c>
      <c r="F9" s="5"/>
      <c r="G9" s="5"/>
      <c r="H9" s="5"/>
      <c r="I9" s="5"/>
      <c r="J9" s="5"/>
      <c r="K9" s="5"/>
      <c r="L9" s="5"/>
      <c r="M9" s="5"/>
      <c r="N9" s="5"/>
      <c r="O9" s="5"/>
      <c r="P9" s="5"/>
      <c r="Q9" s="5"/>
      <c r="R9" s="5"/>
      <c r="S9" s="5"/>
      <c r="T9" s="5"/>
      <c r="U9" s="5"/>
      <c r="V9" s="5"/>
      <c r="W9" s="5"/>
      <c r="X9" s="5"/>
      <c r="Y9" s="5"/>
    </row>
    <row r="10" spans="1:41" ht="18" customHeight="1" x14ac:dyDescent="0.25">
      <c r="A10" s="3">
        <f ca="1"/>
        <v>5</v>
      </c>
      <c r="B10" s="14" t="str">
        <f ca="1"/>
        <v>Moeez Usman</v>
      </c>
      <c r="C10" s="4">
        <f ca="1"/>
        <v>35</v>
      </c>
      <c r="D10" s="112" t="str">
        <f ca="1"/>
        <v>Usman Ahmed</v>
      </c>
      <c r="E10" s="4">
        <f ca="1"/>
        <v>13136019890</v>
      </c>
      <c r="F10" s="5"/>
      <c r="G10" s="5"/>
      <c r="H10" s="5"/>
      <c r="I10" s="5"/>
      <c r="J10" s="5"/>
      <c r="K10" s="5"/>
      <c r="L10" s="5"/>
      <c r="M10" s="5"/>
      <c r="N10" s="5"/>
      <c r="O10" s="5"/>
      <c r="P10" s="5"/>
      <c r="Q10" s="5"/>
      <c r="R10" s="5"/>
      <c r="S10" s="5"/>
      <c r="T10" s="5"/>
      <c r="U10" s="5"/>
      <c r="V10" s="5"/>
      <c r="W10" s="5"/>
      <c r="X10" s="5"/>
      <c r="Y10" s="5"/>
    </row>
    <row r="11" spans="1:41" ht="18" customHeight="1" x14ac:dyDescent="0.25">
      <c r="A11" s="3">
        <f ca="1"/>
        <v>6</v>
      </c>
      <c r="B11" s="14" t="str">
        <f ca="1"/>
        <v>Sifat Hussain</v>
      </c>
      <c r="C11" s="4">
        <f ca="1"/>
        <v>95</v>
      </c>
      <c r="D11" s="112" t="str">
        <f ca="1"/>
        <v>Mamdud Hussen</v>
      </c>
      <c r="E11" s="4">
        <f ca="1"/>
        <v>13133277976</v>
      </c>
      <c r="F11" s="5"/>
      <c r="G11" s="5"/>
      <c r="H11" s="5"/>
      <c r="I11" s="5"/>
      <c r="J11" s="5"/>
      <c r="K11" s="5"/>
      <c r="L11" s="5"/>
      <c r="M11" s="5"/>
      <c r="N11" s="5"/>
      <c r="O11" s="5"/>
      <c r="P11" s="5"/>
      <c r="Q11" s="5"/>
      <c r="R11" s="5"/>
      <c r="S11" s="5"/>
      <c r="T11" s="5"/>
      <c r="U11" s="5"/>
      <c r="V11" s="5"/>
      <c r="W11" s="5"/>
      <c r="X11" s="5"/>
      <c r="Y11" s="5"/>
    </row>
    <row r="12" spans="1:41" ht="18" customHeight="1" x14ac:dyDescent="0.25">
      <c r="A12" s="3">
        <f ca="1"/>
        <v>7</v>
      </c>
      <c r="B12" s="14" t="str">
        <f ca="1"/>
        <v>Kazi Yasin</v>
      </c>
      <c r="C12" s="4" t="str">
        <f ca="1"/>
        <v/>
      </c>
      <c r="D12" s="112" t="str">
        <f ca="1"/>
        <v>Kazi Muqtadin Ahmed</v>
      </c>
      <c r="E12" s="4" t="str">
        <f ca="1"/>
        <v/>
      </c>
      <c r="F12" s="5"/>
      <c r="G12" s="5"/>
      <c r="H12" s="5"/>
      <c r="I12" s="5"/>
      <c r="J12" s="5"/>
      <c r="K12" s="5"/>
      <c r="L12" s="5"/>
      <c r="M12" s="5"/>
      <c r="N12" s="5"/>
      <c r="O12" s="5"/>
      <c r="P12" s="5"/>
      <c r="Q12" s="5"/>
      <c r="R12" s="5"/>
      <c r="S12" s="5"/>
      <c r="T12" s="5"/>
      <c r="U12" s="5"/>
      <c r="V12" s="5"/>
      <c r="W12" s="5"/>
      <c r="X12" s="5"/>
      <c r="Y12" s="5"/>
    </row>
    <row r="13" spans="1:41" ht="18" customHeight="1" x14ac:dyDescent="0.25">
      <c r="A13" s="3">
        <f ca="1"/>
        <v>8</v>
      </c>
      <c r="B13" s="14" t="str">
        <f ca="1"/>
        <v>Tasnim Choudhury</v>
      </c>
      <c r="C13" s="4">
        <f ca="1"/>
        <v>59</v>
      </c>
      <c r="D13" s="112" t="str">
        <f ca="1"/>
        <v>Muhim Choudhury</v>
      </c>
      <c r="E13" s="4">
        <f ca="1"/>
        <v>15863605727</v>
      </c>
      <c r="F13" s="5"/>
      <c r="G13" s="5"/>
      <c r="H13" s="5"/>
      <c r="I13" s="5"/>
      <c r="J13" s="5"/>
      <c r="K13" s="5"/>
      <c r="L13" s="5"/>
      <c r="M13" s="5"/>
      <c r="N13" s="5"/>
      <c r="O13" s="5"/>
      <c r="P13" s="5"/>
      <c r="Q13" s="5"/>
      <c r="R13" s="5"/>
      <c r="S13" s="5"/>
      <c r="T13" s="5"/>
      <c r="U13" s="5"/>
      <c r="V13" s="5"/>
      <c r="W13" s="5"/>
      <c r="X13" s="5"/>
      <c r="Y13" s="5"/>
    </row>
    <row r="14" spans="1:41" ht="18" customHeight="1" x14ac:dyDescent="0.25">
      <c r="A14" s="3">
        <f ca="1"/>
        <v>9</v>
      </c>
      <c r="B14" s="14" t="str">
        <f ca="1"/>
        <v>Maaz Usman</v>
      </c>
      <c r="C14" s="4">
        <f ca="1"/>
        <v>35</v>
      </c>
      <c r="D14" s="112" t="str">
        <f ca="1"/>
        <v>Usman Ahmed</v>
      </c>
      <c r="E14" s="4">
        <f ca="1"/>
        <v>6314649663</v>
      </c>
      <c r="F14" s="5"/>
      <c r="G14" s="5"/>
      <c r="H14" s="5"/>
      <c r="I14" s="5"/>
      <c r="J14" s="5"/>
      <c r="K14" s="5"/>
      <c r="L14" s="5"/>
      <c r="M14" s="5"/>
      <c r="N14" s="5"/>
      <c r="O14" s="5"/>
      <c r="P14" s="5"/>
      <c r="Q14" s="5"/>
      <c r="R14" s="5"/>
      <c r="S14" s="5"/>
      <c r="T14" s="5"/>
      <c r="U14" s="5"/>
      <c r="V14" s="5"/>
      <c r="W14" s="5"/>
      <c r="X14" s="5"/>
      <c r="Y14" s="5"/>
    </row>
    <row r="15" spans="1:41" ht="18" customHeight="1" x14ac:dyDescent="0.25">
      <c r="A15" s="3">
        <f ca="1"/>
        <v>10</v>
      </c>
      <c r="B15" s="14" t="str">
        <f ca="1"/>
        <v>Mahrajun Nur</v>
      </c>
      <c r="C15" s="4">
        <f ca="1"/>
        <v>174</v>
      </c>
      <c r="D15" s="112" t="str">
        <f ca="1"/>
        <v>Mohammed Nurul Huda</v>
      </c>
      <c r="E15" s="4">
        <f ca="1"/>
        <v>15863561234</v>
      </c>
      <c r="F15" s="5"/>
      <c r="G15" s="5"/>
      <c r="H15" s="5"/>
      <c r="I15" s="5"/>
      <c r="J15" s="5"/>
      <c r="K15" s="5"/>
      <c r="L15" s="5"/>
      <c r="M15" s="5"/>
      <c r="N15" s="5"/>
      <c r="O15" s="5"/>
      <c r="P15" s="5"/>
      <c r="Q15" s="5"/>
      <c r="R15" s="5"/>
      <c r="S15" s="5"/>
      <c r="T15" s="5"/>
      <c r="U15" s="5"/>
      <c r="V15" s="5"/>
      <c r="W15" s="5"/>
      <c r="X15" s="5"/>
      <c r="Y15" s="5"/>
    </row>
    <row r="16" spans="1:41" ht="18" customHeight="1" x14ac:dyDescent="0.25">
      <c r="A16" s="3">
        <f ca="1"/>
        <v>11</v>
      </c>
      <c r="B16" s="14" t="str">
        <f ca="1"/>
        <v>Nawaz Hussain Chowdhury</v>
      </c>
      <c r="C16" s="4">
        <f ca="1"/>
        <v>202</v>
      </c>
      <c r="D16" s="112" t="str">
        <f ca="1"/>
        <v>Jahir Hussain Chowdhury</v>
      </c>
      <c r="E16" s="4">
        <f ca="1"/>
        <v>3137075251</v>
      </c>
      <c r="F16" s="5"/>
      <c r="G16" s="5"/>
      <c r="H16" s="5"/>
      <c r="I16" s="5"/>
      <c r="J16" s="5"/>
      <c r="K16" s="5"/>
      <c r="L16" s="5"/>
      <c r="M16" s="5"/>
      <c r="N16" s="5"/>
      <c r="O16" s="5"/>
      <c r="P16" s="5"/>
      <c r="Q16" s="5"/>
      <c r="R16" s="5"/>
      <c r="S16" s="5"/>
      <c r="T16" s="5"/>
      <c r="U16" s="5"/>
      <c r="V16" s="5"/>
      <c r="W16" s="5"/>
      <c r="X16" s="5"/>
      <c r="Y16" s="5"/>
    </row>
    <row r="17" spans="1:25" ht="18" customHeight="1" x14ac:dyDescent="0.25">
      <c r="A17" s="3">
        <f ca="1"/>
        <v>12</v>
      </c>
      <c r="B17" s="14" t="str">
        <f ca="1"/>
        <v>Sayhan Husen</v>
      </c>
      <c r="C17" s="4">
        <f ca="1"/>
        <v>120</v>
      </c>
      <c r="D17" s="112" t="str">
        <f ca="1"/>
        <v>Mohd Ali Husen</v>
      </c>
      <c r="E17" s="4">
        <f ca="1"/>
        <v>19292718114</v>
      </c>
      <c r="F17" s="5"/>
      <c r="G17" s="5"/>
      <c r="H17" s="5"/>
      <c r="I17" s="5"/>
      <c r="J17" s="5"/>
      <c r="K17" s="5"/>
      <c r="L17" s="5"/>
      <c r="M17" s="5"/>
      <c r="N17" s="5"/>
      <c r="O17" s="5"/>
      <c r="P17" s="5"/>
      <c r="Q17" s="5"/>
      <c r="R17" s="5"/>
      <c r="S17" s="5"/>
      <c r="T17" s="5"/>
      <c r="U17" s="5"/>
      <c r="V17" s="5"/>
      <c r="W17" s="5"/>
      <c r="X17" s="5"/>
      <c r="Y17" s="5"/>
    </row>
    <row r="18" spans="1:25" ht="18" customHeight="1" x14ac:dyDescent="0.25">
      <c r="A18" s="3">
        <f ca="1"/>
        <v>13</v>
      </c>
      <c r="B18" s="14" t="str">
        <f ca="1"/>
        <v>Siyam Hussen</v>
      </c>
      <c r="C18" s="4">
        <f ca="1"/>
        <v>95</v>
      </c>
      <c r="D18" s="112" t="str">
        <f ca="1"/>
        <v>Mamdud Hussen</v>
      </c>
      <c r="E18" s="4">
        <f ca="1"/>
        <v>13133277976</v>
      </c>
      <c r="F18" s="5"/>
      <c r="G18" s="5"/>
      <c r="H18" s="5"/>
      <c r="I18" s="5"/>
      <c r="J18" s="5"/>
      <c r="K18" s="5"/>
      <c r="L18" s="5"/>
      <c r="M18" s="5"/>
      <c r="N18" s="5"/>
      <c r="O18" s="5"/>
      <c r="P18" s="5"/>
      <c r="Q18" s="5"/>
      <c r="R18" s="5"/>
      <c r="S18" s="5"/>
      <c r="T18" s="5"/>
      <c r="U18" s="5"/>
      <c r="V18" s="5"/>
      <c r="W18" s="5"/>
      <c r="X18" s="5"/>
      <c r="Y18" s="5"/>
    </row>
    <row r="19" spans="1:25" ht="18" customHeight="1" x14ac:dyDescent="0.25">
      <c r="A19" s="3">
        <f ca="1"/>
        <v>14</v>
      </c>
      <c r="B19" s="14" t="str">
        <f ca="1"/>
        <v>Tasdique Hamid Khan</v>
      </c>
      <c r="C19" s="4">
        <f ca="1"/>
        <v>17</v>
      </c>
      <c r="D19" s="112" t="str">
        <f ca="1"/>
        <v>Hamid Khan</v>
      </c>
      <c r="E19" s="4">
        <f ca="1"/>
        <v>13133126891</v>
      </c>
      <c r="F19" s="5"/>
      <c r="G19" s="5"/>
      <c r="H19" s="5"/>
      <c r="I19" s="5"/>
      <c r="J19" s="5"/>
      <c r="K19" s="5"/>
      <c r="L19" s="5"/>
      <c r="M19" s="5"/>
      <c r="N19" s="5"/>
      <c r="O19" s="5"/>
      <c r="P19" s="5"/>
      <c r="Q19" s="5"/>
      <c r="R19" s="5"/>
      <c r="S19" s="5"/>
      <c r="T19" s="5"/>
      <c r="U19" s="5"/>
      <c r="V19" s="5"/>
      <c r="W19" s="5"/>
      <c r="X19" s="5"/>
      <c r="Y19" s="5"/>
    </row>
    <row r="20" spans="1:25" ht="18" customHeight="1" x14ac:dyDescent="0.25">
      <c r="A20" s="3">
        <f ca="1"/>
        <v>15</v>
      </c>
      <c r="B20" s="14" t="str">
        <f ca="1"/>
        <v>Tawfique Hamid Khan</v>
      </c>
      <c r="C20" s="4">
        <f ca="1"/>
        <v>17</v>
      </c>
      <c r="D20" s="112" t="str">
        <f ca="1"/>
        <v>Hamid Khan</v>
      </c>
      <c r="E20" s="4">
        <f ca="1"/>
        <v>13133126891</v>
      </c>
      <c r="F20" s="5"/>
      <c r="G20" s="5"/>
      <c r="H20" s="5"/>
      <c r="I20" s="5"/>
      <c r="J20" s="5"/>
      <c r="K20" s="5"/>
      <c r="L20" s="5"/>
      <c r="M20" s="5"/>
      <c r="N20" s="5"/>
      <c r="O20" s="5"/>
      <c r="P20" s="5"/>
      <c r="Q20" s="5"/>
      <c r="R20" s="5"/>
      <c r="S20" s="5"/>
      <c r="T20" s="5"/>
      <c r="U20" s="5"/>
      <c r="V20" s="5"/>
      <c r="W20" s="5"/>
      <c r="X20" s="5"/>
      <c r="Y20" s="5"/>
    </row>
    <row r="21" spans="1:25" ht="18" customHeight="1" x14ac:dyDescent="0.25">
      <c r="A21" s="3">
        <f ca="1"/>
        <v>16</v>
      </c>
      <c r="B21" s="14" t="str">
        <f ca="1"/>
        <v>Adil Ahmed</v>
      </c>
      <c r="C21" s="4">
        <f ca="1"/>
        <v>207</v>
      </c>
      <c r="D21" s="112" t="str">
        <f ca="1"/>
        <v>Khalid Ahmed</v>
      </c>
      <c r="E21" s="4">
        <f ca="1"/>
        <v>3134559518</v>
      </c>
      <c r="F21" s="5"/>
      <c r="G21" s="5"/>
      <c r="H21" s="5"/>
      <c r="I21" s="5"/>
      <c r="J21" s="5"/>
      <c r="K21" s="5"/>
      <c r="L21" s="5"/>
      <c r="M21" s="5"/>
      <c r="N21" s="5"/>
      <c r="O21" s="5"/>
      <c r="P21" s="5"/>
      <c r="Q21" s="5"/>
      <c r="R21" s="5"/>
      <c r="S21" s="5"/>
      <c r="T21" s="5"/>
      <c r="U21" s="5"/>
      <c r="V21" s="5"/>
      <c r="W21" s="5"/>
      <c r="X21" s="5"/>
      <c r="Y21" s="5"/>
    </row>
    <row r="22" spans="1:25" ht="18" customHeight="1" x14ac:dyDescent="0.25">
      <c r="A22" s="3">
        <f ca="1"/>
        <v>17</v>
      </c>
      <c r="B22" s="14" t="str">
        <f ca="1"/>
        <v>Fardeen Ahmed</v>
      </c>
      <c r="C22" s="4">
        <f ca="1"/>
        <v>207</v>
      </c>
      <c r="D22" s="112" t="str">
        <f ca="1"/>
        <v>Khalid Ahmed</v>
      </c>
      <c r="E22" s="4">
        <f ca="1"/>
        <v>3134559518</v>
      </c>
      <c r="F22" s="5"/>
      <c r="G22" s="5"/>
      <c r="H22" s="5"/>
      <c r="I22" s="5"/>
      <c r="J22" s="5"/>
      <c r="K22" s="5"/>
      <c r="L22" s="5"/>
      <c r="M22" s="5"/>
      <c r="N22" s="5"/>
      <c r="O22" s="5"/>
      <c r="P22" s="5"/>
      <c r="Q22" s="5"/>
      <c r="R22" s="5"/>
      <c r="S22" s="5"/>
      <c r="T22" s="5"/>
      <c r="U22" s="5"/>
      <c r="V22" s="5"/>
      <c r="W22" s="5"/>
      <c r="X22" s="5"/>
      <c r="Y22" s="5"/>
    </row>
    <row r="23" spans="1:25" ht="18" customHeight="1" x14ac:dyDescent="0.25">
      <c r="A23" s="3">
        <f ca="1"/>
        <v>18</v>
      </c>
      <c r="B23" s="14" t="str">
        <f ca="1"/>
        <v xml:space="preserve">SHOFIE SHOHID </v>
      </c>
      <c r="C23" s="4">
        <f ca="1"/>
        <v>204</v>
      </c>
      <c r="D23" s="112" t="str">
        <f ca="1"/>
        <v xml:space="preserve">JAKIE SHOHID </v>
      </c>
      <c r="E23" s="4">
        <f ca="1"/>
        <v>5864476936</v>
      </c>
      <c r="F23" s="5"/>
      <c r="G23" s="5"/>
      <c r="H23" s="5"/>
      <c r="I23" s="5"/>
      <c r="J23" s="5"/>
      <c r="K23" s="5"/>
      <c r="L23" s="5"/>
      <c r="M23" s="5"/>
      <c r="N23" s="5"/>
      <c r="O23" s="5"/>
      <c r="P23" s="5"/>
      <c r="Q23" s="5"/>
      <c r="R23" s="5"/>
      <c r="S23" s="5"/>
      <c r="T23" s="5"/>
      <c r="U23" s="5"/>
      <c r="V23" s="5"/>
      <c r="W23" s="5"/>
      <c r="X23" s="5"/>
      <c r="Y23" s="5"/>
    </row>
    <row r="24" spans="1:25" ht="18" customHeight="1" x14ac:dyDescent="0.25">
      <c r="A24" s="3">
        <f ca="1"/>
        <v>19</v>
      </c>
      <c r="B24" s="14" t="str">
        <f ca="1"/>
        <v>Ikraam Kashim Ahmed</v>
      </c>
      <c r="C24" s="4">
        <f ca="1"/>
        <v>1</v>
      </c>
      <c r="D24" s="112" t="str">
        <f ca="1"/>
        <v>Zakir Ahmed</v>
      </c>
      <c r="E24" s="4">
        <f ca="1"/>
        <v>12484796254</v>
      </c>
      <c r="F24" s="5"/>
      <c r="G24" s="5"/>
      <c r="H24" s="5"/>
      <c r="I24" s="5"/>
      <c r="J24" s="5"/>
      <c r="K24" s="5"/>
      <c r="L24" s="5"/>
      <c r="M24" s="5"/>
      <c r="N24" s="5"/>
      <c r="O24" s="5"/>
      <c r="P24" s="5"/>
      <c r="Q24" s="5"/>
      <c r="R24" s="5"/>
      <c r="S24" s="5"/>
      <c r="T24" s="5"/>
      <c r="U24" s="5"/>
      <c r="V24" s="5"/>
      <c r="W24" s="5"/>
      <c r="X24" s="5"/>
      <c r="Y24" s="5"/>
    </row>
    <row r="25" spans="1:25" ht="18" customHeight="1" x14ac:dyDescent="0.25">
      <c r="A25" s="3">
        <f ca="1"/>
        <v>50</v>
      </c>
      <c r="B25" s="14" t="str">
        <f ca="1"/>
        <v>Aaryan Razzak</v>
      </c>
      <c r="C25" s="4">
        <f ca="1"/>
        <v>114</v>
      </c>
      <c r="D25" s="112" t="str">
        <f ca="1"/>
        <v>MD Abdur Razzak</v>
      </c>
      <c r="E25" s="4">
        <f ca="1"/>
        <v>13134550452</v>
      </c>
      <c r="F25" s="5"/>
      <c r="G25" s="5"/>
      <c r="H25" s="5"/>
      <c r="I25" s="5"/>
      <c r="J25" s="5"/>
      <c r="K25" s="5"/>
      <c r="L25" s="5"/>
      <c r="M25" s="5"/>
      <c r="N25" s="5"/>
      <c r="O25" s="5"/>
      <c r="P25" s="5"/>
      <c r="Q25" s="5"/>
      <c r="R25" s="5"/>
      <c r="S25" s="5"/>
      <c r="T25" s="5"/>
      <c r="U25" s="5"/>
      <c r="V25" s="5"/>
      <c r="W25" s="5"/>
      <c r="X25" s="5"/>
      <c r="Y25" s="5"/>
    </row>
    <row r="26" spans="1:25" ht="18" customHeight="1" x14ac:dyDescent="0.25">
      <c r="A26" s="3">
        <f ca="1"/>
        <v>50</v>
      </c>
      <c r="B26" s="14" t="str">
        <f ca="1"/>
        <v>Muhammad Tawaf Ahmed</v>
      </c>
      <c r="C26" s="3">
        <f ca="1"/>
        <v>214</v>
      </c>
      <c r="D26" s="14" t="str">
        <f ca="1"/>
        <v>Simon Ahmed</v>
      </c>
      <c r="E26" s="3">
        <f ca="1"/>
        <v>3476132874</v>
      </c>
      <c r="F26" s="5"/>
      <c r="G26" s="5"/>
      <c r="H26" s="5"/>
      <c r="I26" s="5"/>
      <c r="J26" s="5"/>
      <c r="K26" s="5"/>
      <c r="L26" s="5"/>
      <c r="M26" s="5"/>
      <c r="N26" s="5"/>
      <c r="O26" s="5"/>
      <c r="P26" s="5"/>
      <c r="Q26" s="5"/>
      <c r="R26" s="5"/>
      <c r="S26" s="5"/>
      <c r="T26" s="5"/>
      <c r="U26" s="5"/>
      <c r="V26" s="5"/>
      <c r="W26" s="5"/>
      <c r="X26" s="5"/>
      <c r="Y26" s="5"/>
    </row>
    <row r="27" spans="1:25" ht="18" customHeight="1" x14ac:dyDescent="0.25">
      <c r="A27" s="3">
        <f ca="1"/>
        <v>50</v>
      </c>
      <c r="B27" s="14" t="str">
        <f ca="1"/>
        <v>Arshan Rahman</v>
      </c>
      <c r="C27" s="3">
        <f ca="1"/>
        <v>222</v>
      </c>
      <c r="D27" s="14" t="str">
        <f ca="1"/>
        <v>Ahmedur Rahman</v>
      </c>
      <c r="E27" s="3" t="str">
        <f ca="1"/>
        <v/>
      </c>
      <c r="F27" s="5"/>
      <c r="G27" s="5"/>
      <c r="H27" s="5"/>
      <c r="I27" s="5"/>
      <c r="J27" s="5"/>
      <c r="K27" s="5"/>
      <c r="L27" s="5"/>
      <c r="M27" s="5"/>
      <c r="N27" s="5"/>
      <c r="O27" s="5"/>
      <c r="P27" s="5"/>
      <c r="Q27" s="5"/>
      <c r="R27" s="5"/>
      <c r="S27" s="5"/>
      <c r="T27" s="5"/>
      <c r="U27" s="5"/>
      <c r="V27" s="5"/>
      <c r="W27" s="5"/>
      <c r="X27" s="5"/>
      <c r="Y27" s="5"/>
    </row>
    <row r="28" spans="1:25" ht="18" customHeight="1" x14ac:dyDescent="0.25">
      <c r="A28" s="3"/>
      <c r="B28" s="14"/>
      <c r="C28" s="3"/>
      <c r="D28" s="14"/>
      <c r="E28" s="3"/>
      <c r="F28" s="5"/>
      <c r="G28" s="5"/>
      <c r="H28" s="5"/>
      <c r="I28" s="5"/>
      <c r="J28" s="5"/>
      <c r="K28" s="5"/>
      <c r="L28" s="5"/>
      <c r="M28" s="5"/>
      <c r="N28" s="5"/>
      <c r="O28" s="5"/>
      <c r="P28" s="5"/>
      <c r="Q28" s="5"/>
      <c r="R28" s="5"/>
      <c r="S28" s="5"/>
      <c r="T28" s="5"/>
      <c r="U28" s="5"/>
      <c r="V28" s="5"/>
      <c r="W28" s="5"/>
      <c r="X28" s="5"/>
      <c r="Y28" s="5"/>
    </row>
    <row r="29" spans="1:25" ht="18" customHeight="1" x14ac:dyDescent="0.25">
      <c r="A29" s="145"/>
      <c r="B29" s="146"/>
      <c r="C29" s="145"/>
      <c r="D29" s="146"/>
      <c r="E29" s="145"/>
      <c r="F29" s="147"/>
      <c r="G29" s="147"/>
      <c r="H29" s="147"/>
      <c r="I29" s="147"/>
      <c r="J29" s="147"/>
      <c r="K29" s="147"/>
      <c r="L29" s="147"/>
      <c r="M29" s="147"/>
      <c r="N29" s="147"/>
      <c r="O29" s="147"/>
      <c r="P29" s="147"/>
      <c r="Q29" s="147"/>
      <c r="R29" s="147"/>
      <c r="S29" s="147"/>
      <c r="T29" s="147"/>
      <c r="U29" s="147"/>
      <c r="V29" s="147"/>
      <c r="W29" s="147"/>
      <c r="X29" s="147"/>
      <c r="Y29" s="147"/>
    </row>
    <row r="30" spans="1:25" ht="18" customHeight="1" x14ac:dyDescent="0.25">
      <c r="A30" s="198" t="s">
        <v>1131</v>
      </c>
      <c r="B30" s="198"/>
      <c r="C30" s="198"/>
      <c r="D30" s="198"/>
      <c r="E30" s="198"/>
      <c r="F30" s="198"/>
      <c r="G30" s="198"/>
      <c r="H30" s="198"/>
      <c r="I30" s="198"/>
      <c r="J30" s="198"/>
      <c r="K30" s="198"/>
      <c r="L30" s="198"/>
      <c r="M30" s="198"/>
      <c r="N30" s="198"/>
      <c r="O30" s="198"/>
      <c r="P30" s="198"/>
      <c r="Q30" s="198"/>
      <c r="R30" s="198"/>
      <c r="S30" s="198"/>
      <c r="T30" s="198"/>
      <c r="U30" s="198"/>
      <c r="V30" s="198"/>
      <c r="W30" s="198"/>
      <c r="X30" s="198"/>
      <c r="Y30" s="198"/>
    </row>
    <row r="31" spans="1:25" ht="18" customHeight="1" x14ac:dyDescent="0.25">
      <c r="A31" s="199"/>
      <c r="B31" s="199"/>
      <c r="C31" s="199"/>
      <c r="D31" s="199"/>
      <c r="E31" s="199"/>
      <c r="F31" s="199"/>
      <c r="G31" s="199"/>
      <c r="H31" s="199"/>
      <c r="I31" s="199"/>
      <c r="J31" s="199"/>
      <c r="K31" s="199"/>
      <c r="L31" s="199"/>
      <c r="M31" s="199"/>
      <c r="N31" s="199"/>
      <c r="O31" s="199"/>
      <c r="P31" s="199"/>
      <c r="Q31" s="199"/>
      <c r="R31" s="199"/>
      <c r="S31" s="199"/>
      <c r="T31" s="199"/>
      <c r="U31" s="199"/>
      <c r="V31" s="199"/>
      <c r="W31" s="199"/>
      <c r="X31" s="199"/>
      <c r="Y31" s="199"/>
    </row>
    <row r="32" spans="1:25" ht="18" customHeight="1" x14ac:dyDescent="0.25">
      <c r="A32" s="199"/>
      <c r="B32" s="199"/>
      <c r="C32" s="199"/>
      <c r="D32" s="199"/>
      <c r="E32" s="199"/>
      <c r="F32" s="199"/>
      <c r="G32" s="199"/>
      <c r="H32" s="199"/>
      <c r="I32" s="199"/>
      <c r="J32" s="199"/>
      <c r="K32" s="199"/>
      <c r="L32" s="199"/>
      <c r="M32" s="199"/>
      <c r="N32" s="199"/>
      <c r="O32" s="199"/>
      <c r="P32" s="199"/>
      <c r="Q32" s="199"/>
      <c r="R32" s="199"/>
      <c r="S32" s="199"/>
      <c r="T32" s="199"/>
      <c r="U32" s="199"/>
      <c r="V32" s="199"/>
      <c r="W32" s="199"/>
      <c r="X32" s="199"/>
      <c r="Y32" s="199"/>
    </row>
    <row r="33" spans="1:25" ht="18" customHeight="1" x14ac:dyDescent="0.25">
      <c r="A33" s="199"/>
      <c r="B33" s="199"/>
      <c r="C33" s="199"/>
      <c r="D33" s="199"/>
      <c r="E33" s="199"/>
      <c r="F33" s="199"/>
      <c r="G33" s="199"/>
      <c r="H33" s="199"/>
      <c r="I33" s="199"/>
      <c r="J33" s="199"/>
      <c r="K33" s="199"/>
      <c r="L33" s="199"/>
      <c r="M33" s="199"/>
      <c r="N33" s="199"/>
      <c r="O33" s="199"/>
      <c r="P33" s="199"/>
      <c r="Q33" s="199"/>
      <c r="R33" s="199"/>
      <c r="S33" s="199"/>
      <c r="T33" s="199"/>
      <c r="U33" s="199"/>
      <c r="V33" s="199"/>
      <c r="W33" s="199"/>
      <c r="X33" s="199"/>
      <c r="Y33" s="199"/>
    </row>
  </sheetData>
  <mergeCells count="14">
    <mergeCell ref="A30:Y33"/>
    <mergeCell ref="W4:Y4"/>
    <mergeCell ref="T4:V4"/>
    <mergeCell ref="R4:S4"/>
    <mergeCell ref="R3:S3"/>
    <mergeCell ref="F4:G4"/>
    <mergeCell ref="I4:J4"/>
    <mergeCell ref="P4:Q4"/>
    <mergeCell ref="N4:O4"/>
    <mergeCell ref="T3:V3"/>
    <mergeCell ref="W3:Y3"/>
    <mergeCell ref="F3:G3"/>
    <mergeCell ref="N3:O3"/>
    <mergeCell ref="P3:Q3"/>
  </mergeCells>
  <printOptions horizontalCentered="1"/>
  <pageMargins left="0.25" right="0.25" top="0.43636363636363634" bottom="0.39642857142857141" header="0.25" footer="0.25"/>
  <pageSetup scale="94" fitToHeight="0" orientation="landscape" r:id="rId1"/>
  <extLst>
    <ext xmlns:x14="http://schemas.microsoft.com/office/spreadsheetml/2009/9/main" uri="{CCE6A557-97BC-4b89-ADB6-D9C93CAAB3DF}">
      <x14:dataValidations xmlns:xm="http://schemas.microsoft.com/office/excel/2006/main" count="4">
        <x14:dataValidation type="list" allowBlank="1" showInputMessage="1" showErrorMessage="1" xr:uid="{72E570DB-DCBF-41AC-AC96-C35A1559128E}">
          <x14:formula1>
            <xm:f>settings!$X$2:$X$4</xm:f>
          </x14:formula1>
          <xm:sqref>T4</xm:sqref>
        </x14:dataValidation>
        <x14:dataValidation type="list" allowBlank="1" showInputMessage="1" showErrorMessage="1" xr:uid="{0A766E30-0152-4444-B9AA-5680EEE9B2D4}">
          <x14:formula1>
            <xm:f>settings!$F:$F</xm:f>
          </x14:formula1>
          <xm:sqref>N4</xm:sqref>
        </x14:dataValidation>
        <x14:dataValidation type="list" allowBlank="1" showInputMessage="1" showErrorMessage="1" xr:uid="{0B3CCE13-70FA-44D5-B11A-7D45E727150C}">
          <x14:formula1>
            <xm:f>settings!$G:$G</xm:f>
          </x14:formula1>
          <xm:sqref>P4</xm:sqref>
        </x14:dataValidation>
        <x14:dataValidation type="list" allowBlank="1" showInputMessage="1" showErrorMessage="1" xr:uid="{1615B1BB-08F4-4009-94E6-9C29F0D44C1D}">
          <x14:formula1>
            <xm:f>settings!$I$1:$I$5</xm:f>
          </x14:formula1>
          <xm:sqref>R4:S4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38F06-AD69-4605-9818-8EC19702FA51}">
  <sheetPr codeName="Sheet4"/>
  <dimension ref="A1:N40"/>
  <sheetViews>
    <sheetView view="pageLayout" zoomScaleNormal="100" workbookViewId="0">
      <selection sqref="A1:D5"/>
    </sheetView>
  </sheetViews>
  <sheetFormatPr defaultColWidth="9.140625" defaultRowHeight="15" x14ac:dyDescent="0.25"/>
  <cols>
    <col min="1" max="4" width="7.28515625" style="141" customWidth="1"/>
    <col min="5" max="5" width="6.42578125" style="141" customWidth="1"/>
    <col min="6" max="9" width="7.28515625" style="141" customWidth="1"/>
    <col min="10" max="10" width="6.42578125" style="141" customWidth="1"/>
    <col min="11" max="14" width="7.28515625" style="141" customWidth="1"/>
    <col min="15" max="16384" width="9.140625" style="142"/>
  </cols>
  <sheetData>
    <row r="1" spans="1:14" ht="22.5" x14ac:dyDescent="0.25">
      <c r="A1" s="140" t="s">
        <v>1132</v>
      </c>
      <c r="B1" s="140" t="s">
        <v>1133</v>
      </c>
      <c r="C1" s="140" t="s">
        <v>1134</v>
      </c>
      <c r="D1" s="140" t="s">
        <v>1135</v>
      </c>
      <c r="F1" s="140" t="s">
        <v>1132</v>
      </c>
      <c r="G1" s="140" t="s">
        <v>1133</v>
      </c>
      <c r="H1" s="140" t="s">
        <v>1134</v>
      </c>
      <c r="I1" s="140" t="s">
        <v>1135</v>
      </c>
      <c r="K1" s="140" t="s">
        <v>1132</v>
      </c>
      <c r="L1" s="140" t="s">
        <v>1133</v>
      </c>
      <c r="M1" s="140" t="s">
        <v>1134</v>
      </c>
      <c r="N1" s="140" t="s">
        <v>1135</v>
      </c>
    </row>
    <row r="2" spans="1:14" x14ac:dyDescent="0.25">
      <c r="A2" s="140">
        <v>3</v>
      </c>
      <c r="B2" s="143" t="s">
        <v>50</v>
      </c>
      <c r="C2" s="143" t="s">
        <v>50</v>
      </c>
      <c r="D2" s="143" t="s">
        <v>50</v>
      </c>
      <c r="F2" s="140">
        <v>3</v>
      </c>
      <c r="G2" s="143" t="s">
        <v>50</v>
      </c>
      <c r="H2" s="143" t="s">
        <v>50</v>
      </c>
      <c r="I2" s="143" t="s">
        <v>50</v>
      </c>
      <c r="K2" s="140">
        <v>3</v>
      </c>
      <c r="L2" s="143" t="s">
        <v>50</v>
      </c>
      <c r="M2" s="143" t="s">
        <v>50</v>
      </c>
      <c r="N2" s="143" t="s">
        <v>50</v>
      </c>
    </row>
    <row r="3" spans="1:14" x14ac:dyDescent="0.25">
      <c r="A3" s="140">
        <v>2</v>
      </c>
      <c r="B3" s="143" t="s">
        <v>50</v>
      </c>
      <c r="C3" s="143" t="s">
        <v>50</v>
      </c>
      <c r="D3" s="140" t="s">
        <v>1136</v>
      </c>
      <c r="F3" s="140">
        <v>2</v>
      </c>
      <c r="G3" s="143" t="s">
        <v>50</v>
      </c>
      <c r="H3" s="143" t="s">
        <v>50</v>
      </c>
      <c r="I3" s="140" t="s">
        <v>1136</v>
      </c>
      <c r="K3" s="140">
        <v>2</v>
      </c>
      <c r="L3" s="143" t="s">
        <v>50</v>
      </c>
      <c r="M3" s="143" t="s">
        <v>50</v>
      </c>
      <c r="N3" s="140" t="s">
        <v>1136</v>
      </c>
    </row>
    <row r="4" spans="1:14" x14ac:dyDescent="0.25">
      <c r="A4" s="140">
        <v>1</v>
      </c>
      <c r="B4" s="143" t="s">
        <v>50</v>
      </c>
      <c r="C4" s="140" t="s">
        <v>1136</v>
      </c>
      <c r="D4" s="140" t="s">
        <v>1136</v>
      </c>
      <c r="F4" s="140">
        <v>1</v>
      </c>
      <c r="G4" s="143" t="s">
        <v>50</v>
      </c>
      <c r="H4" s="140" t="s">
        <v>1136</v>
      </c>
      <c r="I4" s="140" t="s">
        <v>1136</v>
      </c>
      <c r="K4" s="140">
        <v>1</v>
      </c>
      <c r="L4" s="143" t="s">
        <v>50</v>
      </c>
      <c r="M4" s="140" t="s">
        <v>1136</v>
      </c>
      <c r="N4" s="140" t="s">
        <v>1136</v>
      </c>
    </row>
    <row r="5" spans="1:14" x14ac:dyDescent="0.25">
      <c r="A5" s="140" t="s">
        <v>1137</v>
      </c>
      <c r="B5" s="140" t="s">
        <v>1136</v>
      </c>
      <c r="C5" s="140" t="s">
        <v>1136</v>
      </c>
      <c r="D5" s="140" t="s">
        <v>1136</v>
      </c>
      <c r="F5" s="140" t="s">
        <v>1137</v>
      </c>
      <c r="G5" s="140" t="s">
        <v>1136</v>
      </c>
      <c r="H5" s="140" t="s">
        <v>1136</v>
      </c>
      <c r="I5" s="140" t="s">
        <v>1136</v>
      </c>
      <c r="K5" s="140" t="s">
        <v>1137</v>
      </c>
      <c r="L5" s="140" t="s">
        <v>1136</v>
      </c>
      <c r="M5" s="140" t="s">
        <v>1136</v>
      </c>
      <c r="N5" s="140" t="s">
        <v>1136</v>
      </c>
    </row>
    <row r="8" spans="1:14" ht="22.5" x14ac:dyDescent="0.25">
      <c r="A8" s="140" t="s">
        <v>1132</v>
      </c>
      <c r="B8" s="140" t="s">
        <v>1133</v>
      </c>
      <c r="C8" s="140" t="s">
        <v>1134</v>
      </c>
      <c r="D8" s="140" t="s">
        <v>1135</v>
      </c>
      <c r="F8" s="140" t="s">
        <v>1132</v>
      </c>
      <c r="G8" s="140" t="s">
        <v>1133</v>
      </c>
      <c r="H8" s="140" t="s">
        <v>1134</v>
      </c>
      <c r="I8" s="140" t="s">
        <v>1135</v>
      </c>
      <c r="K8" s="140" t="s">
        <v>1132</v>
      </c>
      <c r="L8" s="140" t="s">
        <v>1133</v>
      </c>
      <c r="M8" s="140" t="s">
        <v>1134</v>
      </c>
      <c r="N8" s="140" t="s">
        <v>1135</v>
      </c>
    </row>
    <row r="9" spans="1:14" x14ac:dyDescent="0.25">
      <c r="A9" s="140">
        <v>3</v>
      </c>
      <c r="B9" s="143" t="s">
        <v>50</v>
      </c>
      <c r="C9" s="143" t="s">
        <v>50</v>
      </c>
      <c r="D9" s="143" t="s">
        <v>50</v>
      </c>
      <c r="F9" s="140">
        <v>3</v>
      </c>
      <c r="G9" s="143" t="s">
        <v>50</v>
      </c>
      <c r="H9" s="143" t="s">
        <v>50</v>
      </c>
      <c r="I9" s="143" t="s">
        <v>50</v>
      </c>
      <c r="K9" s="140">
        <v>3</v>
      </c>
      <c r="L9" s="143" t="s">
        <v>50</v>
      </c>
      <c r="M9" s="143" t="s">
        <v>50</v>
      </c>
      <c r="N9" s="143" t="s">
        <v>50</v>
      </c>
    </row>
    <row r="10" spans="1:14" x14ac:dyDescent="0.25">
      <c r="A10" s="140">
        <v>2</v>
      </c>
      <c r="B10" s="143" t="s">
        <v>50</v>
      </c>
      <c r="C10" s="143" t="s">
        <v>50</v>
      </c>
      <c r="D10" s="140" t="s">
        <v>1136</v>
      </c>
      <c r="F10" s="140">
        <v>2</v>
      </c>
      <c r="G10" s="143" t="s">
        <v>50</v>
      </c>
      <c r="H10" s="143" t="s">
        <v>50</v>
      </c>
      <c r="I10" s="140" t="s">
        <v>1136</v>
      </c>
      <c r="K10" s="140">
        <v>2</v>
      </c>
      <c r="L10" s="143" t="s">
        <v>50</v>
      </c>
      <c r="M10" s="143" t="s">
        <v>50</v>
      </c>
      <c r="N10" s="140" t="s">
        <v>1136</v>
      </c>
    </row>
    <row r="11" spans="1:14" x14ac:dyDescent="0.25">
      <c r="A11" s="140">
        <v>1</v>
      </c>
      <c r="B11" s="143" t="s">
        <v>50</v>
      </c>
      <c r="C11" s="140" t="s">
        <v>1136</v>
      </c>
      <c r="D11" s="140" t="s">
        <v>1136</v>
      </c>
      <c r="F11" s="140">
        <v>1</v>
      </c>
      <c r="G11" s="143" t="s">
        <v>50</v>
      </c>
      <c r="H11" s="140" t="s">
        <v>1136</v>
      </c>
      <c r="I11" s="140" t="s">
        <v>1136</v>
      </c>
      <c r="K11" s="140">
        <v>1</v>
      </c>
      <c r="L11" s="143" t="s">
        <v>50</v>
      </c>
      <c r="M11" s="140" t="s">
        <v>1136</v>
      </c>
      <c r="N11" s="140" t="s">
        <v>1136</v>
      </c>
    </row>
    <row r="12" spans="1:14" x14ac:dyDescent="0.25">
      <c r="A12" s="140" t="s">
        <v>1137</v>
      </c>
      <c r="B12" s="140" t="s">
        <v>1136</v>
      </c>
      <c r="C12" s="140" t="s">
        <v>1136</v>
      </c>
      <c r="D12" s="140" t="s">
        <v>1136</v>
      </c>
      <c r="F12" s="140" t="s">
        <v>1137</v>
      </c>
      <c r="G12" s="140" t="s">
        <v>1136</v>
      </c>
      <c r="H12" s="140" t="s">
        <v>1136</v>
      </c>
      <c r="I12" s="140" t="s">
        <v>1136</v>
      </c>
      <c r="K12" s="140" t="s">
        <v>1137</v>
      </c>
      <c r="L12" s="140" t="s">
        <v>1136</v>
      </c>
      <c r="M12" s="140" t="s">
        <v>1136</v>
      </c>
      <c r="N12" s="140" t="s">
        <v>1136</v>
      </c>
    </row>
    <row r="15" spans="1:14" ht="22.5" x14ac:dyDescent="0.25">
      <c r="A15" s="140" t="s">
        <v>1132</v>
      </c>
      <c r="B15" s="140" t="s">
        <v>1133</v>
      </c>
      <c r="C15" s="140" t="s">
        <v>1134</v>
      </c>
      <c r="D15" s="140" t="s">
        <v>1135</v>
      </c>
      <c r="F15" s="140" t="s">
        <v>1132</v>
      </c>
      <c r="G15" s="140" t="s">
        <v>1133</v>
      </c>
      <c r="H15" s="140" t="s">
        <v>1134</v>
      </c>
      <c r="I15" s="140" t="s">
        <v>1135</v>
      </c>
      <c r="K15" s="140" t="s">
        <v>1132</v>
      </c>
      <c r="L15" s="140" t="s">
        <v>1133</v>
      </c>
      <c r="M15" s="140" t="s">
        <v>1134</v>
      </c>
      <c r="N15" s="140" t="s">
        <v>1135</v>
      </c>
    </row>
    <row r="16" spans="1:14" x14ac:dyDescent="0.25">
      <c r="A16" s="140">
        <v>3</v>
      </c>
      <c r="B16" s="143" t="s">
        <v>50</v>
      </c>
      <c r="C16" s="143" t="s">
        <v>50</v>
      </c>
      <c r="D16" s="143" t="s">
        <v>50</v>
      </c>
      <c r="F16" s="140">
        <v>3</v>
      </c>
      <c r="G16" s="143" t="s">
        <v>50</v>
      </c>
      <c r="H16" s="143" t="s">
        <v>50</v>
      </c>
      <c r="I16" s="143" t="s">
        <v>50</v>
      </c>
      <c r="K16" s="140">
        <v>3</v>
      </c>
      <c r="L16" s="143" t="s">
        <v>50</v>
      </c>
      <c r="M16" s="143" t="s">
        <v>50</v>
      </c>
      <c r="N16" s="143" t="s">
        <v>50</v>
      </c>
    </row>
    <row r="17" spans="1:14" x14ac:dyDescent="0.25">
      <c r="A17" s="140">
        <v>2</v>
      </c>
      <c r="B17" s="143" t="s">
        <v>50</v>
      </c>
      <c r="C17" s="143" t="s">
        <v>50</v>
      </c>
      <c r="D17" s="140" t="s">
        <v>1136</v>
      </c>
      <c r="F17" s="140">
        <v>2</v>
      </c>
      <c r="G17" s="143" t="s">
        <v>50</v>
      </c>
      <c r="H17" s="143" t="s">
        <v>50</v>
      </c>
      <c r="I17" s="140" t="s">
        <v>1136</v>
      </c>
      <c r="K17" s="140">
        <v>2</v>
      </c>
      <c r="L17" s="143" t="s">
        <v>50</v>
      </c>
      <c r="M17" s="143" t="s">
        <v>50</v>
      </c>
      <c r="N17" s="140" t="s">
        <v>1136</v>
      </c>
    </row>
    <row r="18" spans="1:14" x14ac:dyDescent="0.25">
      <c r="A18" s="140">
        <v>1</v>
      </c>
      <c r="B18" s="143" t="s">
        <v>50</v>
      </c>
      <c r="C18" s="140" t="s">
        <v>1136</v>
      </c>
      <c r="D18" s="140" t="s">
        <v>1136</v>
      </c>
      <c r="F18" s="140">
        <v>1</v>
      </c>
      <c r="G18" s="143" t="s">
        <v>50</v>
      </c>
      <c r="H18" s="140" t="s">
        <v>1136</v>
      </c>
      <c r="I18" s="140" t="s">
        <v>1136</v>
      </c>
      <c r="K18" s="140">
        <v>1</v>
      </c>
      <c r="L18" s="143" t="s">
        <v>50</v>
      </c>
      <c r="M18" s="140" t="s">
        <v>1136</v>
      </c>
      <c r="N18" s="140" t="s">
        <v>1136</v>
      </c>
    </row>
    <row r="19" spans="1:14" x14ac:dyDescent="0.25">
      <c r="A19" s="140" t="s">
        <v>1137</v>
      </c>
      <c r="B19" s="140" t="s">
        <v>1136</v>
      </c>
      <c r="C19" s="140" t="s">
        <v>1136</v>
      </c>
      <c r="D19" s="140" t="s">
        <v>1136</v>
      </c>
      <c r="F19" s="140" t="s">
        <v>1137</v>
      </c>
      <c r="G19" s="140" t="s">
        <v>1136</v>
      </c>
      <c r="H19" s="140" t="s">
        <v>1136</v>
      </c>
      <c r="I19" s="140" t="s">
        <v>1136</v>
      </c>
      <c r="K19" s="140" t="s">
        <v>1137</v>
      </c>
      <c r="L19" s="140" t="s">
        <v>1136</v>
      </c>
      <c r="M19" s="140" t="s">
        <v>1136</v>
      </c>
      <c r="N19" s="140" t="s">
        <v>1136</v>
      </c>
    </row>
    <row r="22" spans="1:14" ht="22.5" x14ac:dyDescent="0.25">
      <c r="A22" s="140" t="s">
        <v>1132</v>
      </c>
      <c r="B22" s="140" t="s">
        <v>1133</v>
      </c>
      <c r="C22" s="140" t="s">
        <v>1134</v>
      </c>
      <c r="D22" s="140" t="s">
        <v>1135</v>
      </c>
      <c r="F22" s="140" t="s">
        <v>1132</v>
      </c>
      <c r="G22" s="140" t="s">
        <v>1133</v>
      </c>
      <c r="H22" s="140" t="s">
        <v>1134</v>
      </c>
      <c r="I22" s="140" t="s">
        <v>1135</v>
      </c>
      <c r="K22" s="140" t="s">
        <v>1132</v>
      </c>
      <c r="L22" s="140" t="s">
        <v>1133</v>
      </c>
      <c r="M22" s="140" t="s">
        <v>1134</v>
      </c>
      <c r="N22" s="140" t="s">
        <v>1135</v>
      </c>
    </row>
    <row r="23" spans="1:14" x14ac:dyDescent="0.25">
      <c r="A23" s="140">
        <v>3</v>
      </c>
      <c r="B23" s="143" t="s">
        <v>50</v>
      </c>
      <c r="C23" s="143" t="s">
        <v>50</v>
      </c>
      <c r="D23" s="143" t="s">
        <v>50</v>
      </c>
      <c r="F23" s="140">
        <v>3</v>
      </c>
      <c r="G23" s="143" t="s">
        <v>50</v>
      </c>
      <c r="H23" s="143" t="s">
        <v>50</v>
      </c>
      <c r="I23" s="143" t="s">
        <v>50</v>
      </c>
      <c r="K23" s="140">
        <v>3</v>
      </c>
      <c r="L23" s="143" t="s">
        <v>50</v>
      </c>
      <c r="M23" s="143" t="s">
        <v>50</v>
      </c>
      <c r="N23" s="143" t="s">
        <v>50</v>
      </c>
    </row>
    <row r="24" spans="1:14" x14ac:dyDescent="0.25">
      <c r="A24" s="140">
        <v>2</v>
      </c>
      <c r="B24" s="143" t="s">
        <v>50</v>
      </c>
      <c r="C24" s="143" t="s">
        <v>50</v>
      </c>
      <c r="D24" s="140" t="s">
        <v>1136</v>
      </c>
      <c r="F24" s="140">
        <v>2</v>
      </c>
      <c r="G24" s="143" t="s">
        <v>50</v>
      </c>
      <c r="H24" s="143" t="s">
        <v>50</v>
      </c>
      <c r="I24" s="140" t="s">
        <v>1136</v>
      </c>
      <c r="K24" s="140">
        <v>2</v>
      </c>
      <c r="L24" s="143" t="s">
        <v>50</v>
      </c>
      <c r="M24" s="143" t="s">
        <v>50</v>
      </c>
      <c r="N24" s="140" t="s">
        <v>1136</v>
      </c>
    </row>
    <row r="25" spans="1:14" x14ac:dyDescent="0.25">
      <c r="A25" s="140">
        <v>1</v>
      </c>
      <c r="B25" s="143" t="s">
        <v>50</v>
      </c>
      <c r="C25" s="140" t="s">
        <v>1136</v>
      </c>
      <c r="D25" s="140" t="s">
        <v>1136</v>
      </c>
      <c r="F25" s="140">
        <v>1</v>
      </c>
      <c r="G25" s="143" t="s">
        <v>50</v>
      </c>
      <c r="H25" s="140" t="s">
        <v>1136</v>
      </c>
      <c r="I25" s="140" t="s">
        <v>1136</v>
      </c>
      <c r="K25" s="140">
        <v>1</v>
      </c>
      <c r="L25" s="143" t="s">
        <v>50</v>
      </c>
      <c r="M25" s="140" t="s">
        <v>1136</v>
      </c>
      <c r="N25" s="140" t="s">
        <v>1136</v>
      </c>
    </row>
    <row r="26" spans="1:14" x14ac:dyDescent="0.25">
      <c r="A26" s="140" t="s">
        <v>1137</v>
      </c>
      <c r="B26" s="140" t="s">
        <v>1136</v>
      </c>
      <c r="C26" s="140" t="s">
        <v>1136</v>
      </c>
      <c r="D26" s="140" t="s">
        <v>1136</v>
      </c>
      <c r="F26" s="140" t="s">
        <v>1137</v>
      </c>
      <c r="G26" s="140" t="s">
        <v>1136</v>
      </c>
      <c r="H26" s="140" t="s">
        <v>1136</v>
      </c>
      <c r="I26" s="140" t="s">
        <v>1136</v>
      </c>
      <c r="K26" s="140" t="s">
        <v>1137</v>
      </c>
      <c r="L26" s="140" t="s">
        <v>1136</v>
      </c>
      <c r="M26" s="140" t="s">
        <v>1136</v>
      </c>
      <c r="N26" s="140" t="s">
        <v>1136</v>
      </c>
    </row>
    <row r="29" spans="1:14" ht="22.5" x14ac:dyDescent="0.25">
      <c r="A29" s="140" t="s">
        <v>1132</v>
      </c>
      <c r="B29" s="140" t="s">
        <v>1133</v>
      </c>
      <c r="C29" s="140" t="s">
        <v>1134</v>
      </c>
      <c r="D29" s="140" t="s">
        <v>1135</v>
      </c>
      <c r="F29" s="140" t="s">
        <v>1132</v>
      </c>
      <c r="G29" s="140" t="s">
        <v>1133</v>
      </c>
      <c r="H29" s="140" t="s">
        <v>1134</v>
      </c>
      <c r="I29" s="140" t="s">
        <v>1135</v>
      </c>
      <c r="K29" s="140" t="s">
        <v>1132</v>
      </c>
      <c r="L29" s="140" t="s">
        <v>1133</v>
      </c>
      <c r="M29" s="140" t="s">
        <v>1134</v>
      </c>
      <c r="N29" s="140" t="s">
        <v>1135</v>
      </c>
    </row>
    <row r="30" spans="1:14" x14ac:dyDescent="0.25">
      <c r="A30" s="140">
        <v>3</v>
      </c>
      <c r="B30" s="143" t="s">
        <v>50</v>
      </c>
      <c r="C30" s="143" t="s">
        <v>50</v>
      </c>
      <c r="D30" s="143" t="s">
        <v>50</v>
      </c>
      <c r="F30" s="140">
        <v>3</v>
      </c>
      <c r="G30" s="143" t="s">
        <v>50</v>
      </c>
      <c r="H30" s="143" t="s">
        <v>50</v>
      </c>
      <c r="I30" s="143" t="s">
        <v>50</v>
      </c>
      <c r="K30" s="140">
        <v>3</v>
      </c>
      <c r="L30" s="143" t="s">
        <v>50</v>
      </c>
      <c r="M30" s="143" t="s">
        <v>50</v>
      </c>
      <c r="N30" s="143" t="s">
        <v>50</v>
      </c>
    </row>
    <row r="31" spans="1:14" x14ac:dyDescent="0.25">
      <c r="A31" s="140">
        <v>2</v>
      </c>
      <c r="B31" s="143" t="s">
        <v>50</v>
      </c>
      <c r="C31" s="143" t="s">
        <v>50</v>
      </c>
      <c r="D31" s="140" t="s">
        <v>1136</v>
      </c>
      <c r="F31" s="140">
        <v>2</v>
      </c>
      <c r="G31" s="143" t="s">
        <v>50</v>
      </c>
      <c r="H31" s="143" t="s">
        <v>50</v>
      </c>
      <c r="I31" s="140" t="s">
        <v>1136</v>
      </c>
      <c r="K31" s="140">
        <v>2</v>
      </c>
      <c r="L31" s="143" t="s">
        <v>50</v>
      </c>
      <c r="M31" s="143" t="s">
        <v>50</v>
      </c>
      <c r="N31" s="140" t="s">
        <v>1136</v>
      </c>
    </row>
    <row r="32" spans="1:14" x14ac:dyDescent="0.25">
      <c r="A32" s="140">
        <v>1</v>
      </c>
      <c r="B32" s="143" t="s">
        <v>50</v>
      </c>
      <c r="C32" s="140" t="s">
        <v>1136</v>
      </c>
      <c r="D32" s="140" t="s">
        <v>1136</v>
      </c>
      <c r="F32" s="140">
        <v>1</v>
      </c>
      <c r="G32" s="143" t="s">
        <v>50</v>
      </c>
      <c r="H32" s="140" t="s">
        <v>1136</v>
      </c>
      <c r="I32" s="140" t="s">
        <v>1136</v>
      </c>
      <c r="K32" s="140">
        <v>1</v>
      </c>
      <c r="L32" s="143" t="s">
        <v>50</v>
      </c>
      <c r="M32" s="140" t="s">
        <v>1136</v>
      </c>
      <c r="N32" s="140" t="s">
        <v>1136</v>
      </c>
    </row>
    <row r="33" spans="1:14" x14ac:dyDescent="0.25">
      <c r="A33" s="140" t="s">
        <v>1137</v>
      </c>
      <c r="B33" s="140" t="s">
        <v>1136</v>
      </c>
      <c r="C33" s="140" t="s">
        <v>1136</v>
      </c>
      <c r="D33" s="140" t="s">
        <v>1136</v>
      </c>
      <c r="F33" s="140" t="s">
        <v>1137</v>
      </c>
      <c r="G33" s="140" t="s">
        <v>1136</v>
      </c>
      <c r="H33" s="140" t="s">
        <v>1136</v>
      </c>
      <c r="I33" s="140" t="s">
        <v>1136</v>
      </c>
      <c r="K33" s="140" t="s">
        <v>1137</v>
      </c>
      <c r="L33" s="140" t="s">
        <v>1136</v>
      </c>
      <c r="M33" s="140" t="s">
        <v>1136</v>
      </c>
      <c r="N33" s="140" t="s">
        <v>1136</v>
      </c>
    </row>
    <row r="36" spans="1:14" ht="22.5" x14ac:dyDescent="0.25">
      <c r="A36" s="140" t="s">
        <v>1132</v>
      </c>
      <c r="B36" s="140" t="s">
        <v>1133</v>
      </c>
      <c r="C36" s="140" t="s">
        <v>1134</v>
      </c>
      <c r="D36" s="140" t="s">
        <v>1135</v>
      </c>
      <c r="F36" s="140" t="s">
        <v>1132</v>
      </c>
      <c r="G36" s="140" t="s">
        <v>1133</v>
      </c>
      <c r="H36" s="140" t="s">
        <v>1134</v>
      </c>
      <c r="I36" s="140" t="s">
        <v>1135</v>
      </c>
      <c r="K36" s="140" t="s">
        <v>1132</v>
      </c>
      <c r="L36" s="140" t="s">
        <v>1133</v>
      </c>
      <c r="M36" s="140" t="s">
        <v>1134</v>
      </c>
      <c r="N36" s="140" t="s">
        <v>1135</v>
      </c>
    </row>
    <row r="37" spans="1:14" x14ac:dyDescent="0.25">
      <c r="A37" s="140">
        <v>3</v>
      </c>
      <c r="B37" s="143" t="s">
        <v>50</v>
      </c>
      <c r="C37" s="143" t="s">
        <v>50</v>
      </c>
      <c r="D37" s="143" t="s">
        <v>50</v>
      </c>
      <c r="F37" s="140">
        <v>3</v>
      </c>
      <c r="G37" s="143" t="s">
        <v>50</v>
      </c>
      <c r="H37" s="143" t="s">
        <v>50</v>
      </c>
      <c r="I37" s="143" t="s">
        <v>50</v>
      </c>
      <c r="K37" s="140">
        <v>3</v>
      </c>
      <c r="L37" s="143" t="s">
        <v>50</v>
      </c>
      <c r="M37" s="143" t="s">
        <v>50</v>
      </c>
      <c r="N37" s="143" t="s">
        <v>50</v>
      </c>
    </row>
    <row r="38" spans="1:14" x14ac:dyDescent="0.25">
      <c r="A38" s="140">
        <v>2</v>
      </c>
      <c r="B38" s="143" t="s">
        <v>50</v>
      </c>
      <c r="C38" s="143" t="s">
        <v>50</v>
      </c>
      <c r="D38" s="140" t="s">
        <v>1136</v>
      </c>
      <c r="F38" s="140">
        <v>2</v>
      </c>
      <c r="G38" s="143" t="s">
        <v>50</v>
      </c>
      <c r="H38" s="143" t="s">
        <v>50</v>
      </c>
      <c r="I38" s="140" t="s">
        <v>1136</v>
      </c>
      <c r="K38" s="140">
        <v>2</v>
      </c>
      <c r="L38" s="143" t="s">
        <v>50</v>
      </c>
      <c r="M38" s="143" t="s">
        <v>50</v>
      </c>
      <c r="N38" s="140" t="s">
        <v>1136</v>
      </c>
    </row>
    <row r="39" spans="1:14" x14ac:dyDescent="0.25">
      <c r="A39" s="140">
        <v>1</v>
      </c>
      <c r="B39" s="143" t="s">
        <v>50</v>
      </c>
      <c r="C39" s="140" t="s">
        <v>1136</v>
      </c>
      <c r="D39" s="140" t="s">
        <v>1136</v>
      </c>
      <c r="F39" s="140">
        <v>1</v>
      </c>
      <c r="G39" s="143" t="s">
        <v>50</v>
      </c>
      <c r="H39" s="140" t="s">
        <v>1136</v>
      </c>
      <c r="I39" s="140" t="s">
        <v>1136</v>
      </c>
      <c r="K39" s="140">
        <v>1</v>
      </c>
      <c r="L39" s="143" t="s">
        <v>50</v>
      </c>
      <c r="M39" s="140" t="s">
        <v>1136</v>
      </c>
      <c r="N39" s="140" t="s">
        <v>1136</v>
      </c>
    </row>
    <row r="40" spans="1:14" x14ac:dyDescent="0.25">
      <c r="A40" s="140" t="s">
        <v>1137</v>
      </c>
      <c r="B40" s="140" t="s">
        <v>1136</v>
      </c>
      <c r="C40" s="140" t="s">
        <v>1136</v>
      </c>
      <c r="D40" s="140" t="s">
        <v>1136</v>
      </c>
      <c r="F40" s="140" t="s">
        <v>1137</v>
      </c>
      <c r="G40" s="140" t="s">
        <v>1136</v>
      </c>
      <c r="H40" s="140" t="s">
        <v>1136</v>
      </c>
      <c r="I40" s="140" t="s">
        <v>1136</v>
      </c>
      <c r="K40" s="140" t="s">
        <v>1137</v>
      </c>
      <c r="L40" s="140" t="s">
        <v>1136</v>
      </c>
      <c r="M40" s="140" t="s">
        <v>1136</v>
      </c>
      <c r="N40" s="140" t="s">
        <v>1136</v>
      </c>
    </row>
  </sheetData>
  <printOptions horizontalCentered="1"/>
  <pageMargins left="0.25" right="0.25" top="0.5" bottom="0.25" header="0.25" footer="0.25"/>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3BABA-EDC4-40AD-B80B-9AB98E693A9D}">
  <sheetPr codeName="Sheet5">
    <pageSetUpPr fitToPage="1"/>
  </sheetPr>
  <dimension ref="A1:AI35"/>
  <sheetViews>
    <sheetView topLeftCell="A15" workbookViewId="0">
      <selection activeCell="F32" sqref="F32"/>
    </sheetView>
  </sheetViews>
  <sheetFormatPr defaultRowHeight="15" x14ac:dyDescent="0.25"/>
  <cols>
    <col min="1" max="1" width="4.140625" bestFit="1" customWidth="1"/>
    <col min="2" max="2" width="18.7109375" bestFit="1" customWidth="1"/>
    <col min="3" max="3" width="19.85546875" bestFit="1" customWidth="1"/>
    <col min="4" max="4" width="64.28515625" bestFit="1" customWidth="1"/>
    <col min="6" max="6" width="4" bestFit="1" customWidth="1"/>
    <col min="7" max="7" width="2.7109375" bestFit="1" customWidth="1"/>
    <col min="8" max="8" width="9.42578125" bestFit="1" customWidth="1"/>
    <col min="9" max="9" width="9.42578125" customWidth="1"/>
    <col min="11" max="11" width="10.85546875" bestFit="1" customWidth="1"/>
    <col min="13" max="13" width="9.28515625" bestFit="1" customWidth="1"/>
    <col min="14" max="14" width="13" bestFit="1" customWidth="1"/>
    <col min="15" max="15" width="8" bestFit="1" customWidth="1"/>
    <col min="16" max="16" width="8.85546875" bestFit="1" customWidth="1"/>
    <col min="17" max="17" width="33.7109375" bestFit="1" customWidth="1"/>
    <col min="18" max="18" width="9.42578125" bestFit="1" customWidth="1"/>
    <col min="19" max="19" width="11.7109375" bestFit="1" customWidth="1"/>
    <col min="20" max="20" width="10.7109375" bestFit="1" customWidth="1"/>
    <col min="21" max="21" width="6.85546875" bestFit="1" customWidth="1"/>
    <col min="22" max="22" width="9.140625" bestFit="1" customWidth="1"/>
    <col min="24" max="24" width="16" bestFit="1" customWidth="1"/>
    <col min="25" max="25" width="24.7109375" bestFit="1" customWidth="1"/>
    <col min="26" max="27" width="8.5703125" bestFit="1" customWidth="1"/>
    <col min="32" max="32" width="8.7109375" customWidth="1"/>
    <col min="33" max="33" width="36.28515625" customWidth="1"/>
    <col min="34" max="34" width="10.7109375" bestFit="1" customWidth="1"/>
    <col min="35" max="35" width="9.85546875" bestFit="1" customWidth="1"/>
  </cols>
  <sheetData>
    <row r="1" spans="1:28" ht="15.75" thickBot="1" x14ac:dyDescent="0.3">
      <c r="A1" t="s">
        <v>1138</v>
      </c>
      <c r="B1" t="s">
        <v>1139</v>
      </c>
      <c r="C1" t="s">
        <v>1140</v>
      </c>
      <c r="D1" t="s">
        <v>1141</v>
      </c>
      <c r="F1" t="s">
        <v>37</v>
      </c>
      <c r="G1" t="s">
        <v>35</v>
      </c>
      <c r="H1" t="s">
        <v>1142</v>
      </c>
      <c r="I1" t="s">
        <v>24</v>
      </c>
      <c r="K1" s="76" t="s">
        <v>1143</v>
      </c>
      <c r="M1" t="s">
        <v>35</v>
      </c>
      <c r="N1" t="s">
        <v>1144</v>
      </c>
      <c r="O1" t="s">
        <v>37</v>
      </c>
      <c r="P1" t="s">
        <v>24</v>
      </c>
      <c r="Q1" t="s">
        <v>1145</v>
      </c>
      <c r="R1" t="s">
        <v>1146</v>
      </c>
      <c r="S1" t="s">
        <v>1147</v>
      </c>
      <c r="T1" t="s">
        <v>1148</v>
      </c>
      <c r="U1" t="s">
        <v>1146</v>
      </c>
      <c r="V1" t="s">
        <v>1149</v>
      </c>
      <c r="X1" t="s">
        <v>1150</v>
      </c>
      <c r="Y1" t="s">
        <v>1151</v>
      </c>
      <c r="Z1" t="s">
        <v>1152</v>
      </c>
      <c r="AA1" t="s">
        <v>1153</v>
      </c>
      <c r="AB1" t="s">
        <v>1154</v>
      </c>
    </row>
    <row r="2" spans="1:28" ht="15.75" thickBot="1" x14ac:dyDescent="0.3">
      <c r="A2" t="s">
        <v>1155</v>
      </c>
      <c r="B2" s="75" t="s">
        <v>1148</v>
      </c>
      <c r="C2" t="s">
        <v>1156</v>
      </c>
      <c r="D2" t="s">
        <v>1157</v>
      </c>
      <c r="F2" t="s">
        <v>48</v>
      </c>
      <c r="G2" t="s">
        <v>56</v>
      </c>
      <c r="H2" t="s">
        <v>1158</v>
      </c>
      <c r="I2">
        <v>1</v>
      </c>
      <c r="K2" t="s">
        <v>1159</v>
      </c>
      <c r="M2" t="s">
        <v>56</v>
      </c>
      <c r="N2" t="s">
        <v>1160</v>
      </c>
      <c r="O2">
        <v>2</v>
      </c>
      <c r="P2" s="75"/>
      <c r="Q2" s="28" t="s">
        <v>1161</v>
      </c>
      <c r="R2" t="s">
        <v>1128</v>
      </c>
      <c r="S2" t="s">
        <v>1162</v>
      </c>
      <c r="T2" t="s">
        <v>1148</v>
      </c>
      <c r="U2" t="s">
        <v>35</v>
      </c>
      <c r="V2" t="s">
        <v>1149</v>
      </c>
      <c r="X2" t="s">
        <v>1128</v>
      </c>
      <c r="Y2" s="117">
        <v>6</v>
      </c>
      <c r="Z2">
        <v>7</v>
      </c>
    </row>
    <row r="3" spans="1:28" ht="15.75" thickBot="1" x14ac:dyDescent="0.3">
      <c r="A3" t="s">
        <v>1163</v>
      </c>
      <c r="B3" s="82" t="s">
        <v>1164</v>
      </c>
      <c r="C3" t="s">
        <v>1165</v>
      </c>
      <c r="D3" t="s">
        <v>1166</v>
      </c>
      <c r="F3" t="s">
        <v>137</v>
      </c>
      <c r="G3" t="s">
        <v>46</v>
      </c>
      <c r="H3" t="s">
        <v>1128</v>
      </c>
      <c r="I3">
        <v>2</v>
      </c>
      <c r="K3" t="s">
        <v>1167</v>
      </c>
      <c r="M3" t="s">
        <v>56</v>
      </c>
      <c r="N3" t="s">
        <v>278</v>
      </c>
      <c r="O3">
        <v>3</v>
      </c>
      <c r="P3" s="75"/>
      <c r="Q3" s="12" t="s">
        <v>1168</v>
      </c>
      <c r="R3" t="s">
        <v>1128</v>
      </c>
      <c r="U3" t="s">
        <v>37</v>
      </c>
      <c r="V3" t="s">
        <v>1149</v>
      </c>
      <c r="X3" t="s">
        <v>1158</v>
      </c>
      <c r="Y3" s="117">
        <v>1</v>
      </c>
      <c r="Z3">
        <v>2</v>
      </c>
      <c r="AA3">
        <v>3</v>
      </c>
      <c r="AB3">
        <v>4</v>
      </c>
    </row>
    <row r="4" spans="1:28" ht="15.75" thickBot="1" x14ac:dyDescent="0.3">
      <c r="A4" t="s">
        <v>1169</v>
      </c>
      <c r="B4" s="75">
        <v>17</v>
      </c>
      <c r="C4" t="s">
        <v>1170</v>
      </c>
      <c r="D4" t="s">
        <v>1171</v>
      </c>
      <c r="F4" t="s">
        <v>142</v>
      </c>
      <c r="H4" t="s">
        <v>1172</v>
      </c>
      <c r="I4">
        <v>3</v>
      </c>
      <c r="K4" t="s">
        <v>1173</v>
      </c>
      <c r="M4" t="s">
        <v>56</v>
      </c>
      <c r="N4" t="s">
        <v>162</v>
      </c>
      <c r="O4">
        <v>4</v>
      </c>
      <c r="P4" s="75"/>
      <c r="Q4" s="98" t="s">
        <v>1174</v>
      </c>
      <c r="R4" t="s">
        <v>1128</v>
      </c>
      <c r="U4" t="s">
        <v>1129</v>
      </c>
      <c r="V4" t="s">
        <v>1149</v>
      </c>
      <c r="X4" t="s">
        <v>1175</v>
      </c>
      <c r="Y4" s="117">
        <v>1</v>
      </c>
      <c r="Z4">
        <v>2</v>
      </c>
      <c r="AA4">
        <v>3</v>
      </c>
      <c r="AB4">
        <v>4</v>
      </c>
    </row>
    <row r="5" spans="1:28" ht="15.75" thickBot="1" x14ac:dyDescent="0.3">
      <c r="A5" t="s">
        <v>1176</v>
      </c>
      <c r="B5" s="82" t="s">
        <v>1177</v>
      </c>
      <c r="C5" t="s">
        <v>1178</v>
      </c>
      <c r="D5" t="s">
        <v>1179</v>
      </c>
      <c r="F5">
        <v>2</v>
      </c>
      <c r="K5" t="s">
        <v>1180</v>
      </c>
      <c r="M5" t="s">
        <v>56</v>
      </c>
      <c r="N5" t="s">
        <v>45</v>
      </c>
      <c r="O5" t="s">
        <v>48</v>
      </c>
      <c r="P5" s="75"/>
      <c r="Q5" s="98" t="s">
        <v>1181</v>
      </c>
      <c r="R5" t="s">
        <v>1128</v>
      </c>
    </row>
    <row r="6" spans="1:28" ht="15.75" thickBot="1" x14ac:dyDescent="0.3">
      <c r="A6" t="s">
        <v>1182</v>
      </c>
      <c r="B6" s="81" t="s">
        <v>1183</v>
      </c>
      <c r="C6" t="s">
        <v>1184</v>
      </c>
      <c r="D6" t="s">
        <v>1185</v>
      </c>
      <c r="F6">
        <v>3</v>
      </c>
      <c r="K6" t="s">
        <v>1186</v>
      </c>
      <c r="M6" t="s">
        <v>56</v>
      </c>
      <c r="N6" t="s">
        <v>45</v>
      </c>
      <c r="O6" t="s">
        <v>1187</v>
      </c>
      <c r="P6" s="75"/>
      <c r="Q6" s="11" t="s">
        <v>1188</v>
      </c>
      <c r="R6" t="s">
        <v>1128</v>
      </c>
    </row>
    <row r="7" spans="1:28" ht="15.75" thickBot="1" x14ac:dyDescent="0.3">
      <c r="A7" t="s">
        <v>1189</v>
      </c>
      <c r="B7" s="83" t="s">
        <v>1190</v>
      </c>
      <c r="C7" t="s">
        <v>1191</v>
      </c>
      <c r="D7" t="s">
        <v>1192</v>
      </c>
      <c r="F7">
        <v>4</v>
      </c>
      <c r="K7" t="s">
        <v>1193</v>
      </c>
      <c r="M7" t="s">
        <v>56</v>
      </c>
      <c r="N7" t="s">
        <v>45</v>
      </c>
      <c r="O7" t="s">
        <v>142</v>
      </c>
      <c r="P7" s="75"/>
      <c r="Q7" s="12" t="s">
        <v>1194</v>
      </c>
      <c r="R7" t="s">
        <v>1128</v>
      </c>
    </row>
    <row r="8" spans="1:28" ht="15.75" thickBot="1" x14ac:dyDescent="0.3">
      <c r="A8" t="s">
        <v>1195</v>
      </c>
      <c r="B8" s="75">
        <v>1</v>
      </c>
      <c r="C8" t="s">
        <v>1196</v>
      </c>
      <c r="D8" t="s">
        <v>1197</v>
      </c>
      <c r="K8" t="s">
        <v>1198</v>
      </c>
      <c r="M8" t="s">
        <v>46</v>
      </c>
      <c r="N8" t="s">
        <v>1160</v>
      </c>
      <c r="O8">
        <v>2</v>
      </c>
      <c r="P8" s="75"/>
      <c r="Q8" s="12" t="s">
        <v>1199</v>
      </c>
      <c r="R8" t="s">
        <v>1128</v>
      </c>
    </row>
    <row r="9" spans="1:28" ht="15.75" thickBot="1" x14ac:dyDescent="0.3">
      <c r="A9" t="s">
        <v>1200</v>
      </c>
      <c r="B9" s="83" t="s">
        <v>1201</v>
      </c>
      <c r="C9" t="s">
        <v>1202</v>
      </c>
      <c r="D9" t="s">
        <v>1203</v>
      </c>
      <c r="K9" t="s">
        <v>1204</v>
      </c>
      <c r="M9" t="s">
        <v>46</v>
      </c>
      <c r="N9" t="s">
        <v>278</v>
      </c>
      <c r="O9">
        <v>3</v>
      </c>
      <c r="P9" s="75"/>
      <c r="Q9" s="11" t="s">
        <v>1205</v>
      </c>
      <c r="R9" t="s">
        <v>1128</v>
      </c>
    </row>
    <row r="10" spans="1:28" ht="15.75" thickBot="1" x14ac:dyDescent="0.3">
      <c r="A10" t="s">
        <v>1206</v>
      </c>
      <c r="B10" s="75">
        <v>24</v>
      </c>
      <c r="C10" t="s">
        <v>1207</v>
      </c>
      <c r="K10" t="s">
        <v>1208</v>
      </c>
      <c r="M10" t="s">
        <v>46</v>
      </c>
      <c r="N10" t="s">
        <v>162</v>
      </c>
      <c r="O10">
        <v>4</v>
      </c>
      <c r="P10" s="75"/>
      <c r="Q10" s="11" t="s">
        <v>1209</v>
      </c>
      <c r="R10" t="s">
        <v>1128</v>
      </c>
    </row>
    <row r="11" spans="1:28" ht="15.75" thickBot="1" x14ac:dyDescent="0.3">
      <c r="A11" t="s">
        <v>1210</v>
      </c>
      <c r="B11" t="s">
        <v>1211</v>
      </c>
      <c r="C11" t="s">
        <v>1212</v>
      </c>
      <c r="D11" t="s">
        <v>1211</v>
      </c>
      <c r="E11" t="s">
        <v>1213</v>
      </c>
      <c r="K11" t="s">
        <v>1214</v>
      </c>
      <c r="M11" t="s">
        <v>46</v>
      </c>
      <c r="N11" t="s">
        <v>45</v>
      </c>
      <c r="O11" t="s">
        <v>48</v>
      </c>
      <c r="Q11" s="12" t="s">
        <v>1215</v>
      </c>
      <c r="R11" t="s">
        <v>1128</v>
      </c>
    </row>
    <row r="12" spans="1:28" ht="15.75" thickBot="1" x14ac:dyDescent="0.3">
      <c r="A12" t="s">
        <v>1216</v>
      </c>
      <c r="B12">
        <v>1</v>
      </c>
      <c r="C12" t="s">
        <v>1217</v>
      </c>
      <c r="K12" t="s">
        <v>1218</v>
      </c>
      <c r="M12" t="s">
        <v>46</v>
      </c>
      <c r="N12" t="s">
        <v>45</v>
      </c>
      <c r="O12" t="s">
        <v>137</v>
      </c>
      <c r="Q12" s="12" t="s">
        <v>1219</v>
      </c>
      <c r="R12" t="s">
        <v>1128</v>
      </c>
    </row>
    <row r="13" spans="1:28" ht="15.75" thickBot="1" x14ac:dyDescent="0.3">
      <c r="A13" t="s">
        <v>1220</v>
      </c>
      <c r="B13">
        <v>22</v>
      </c>
      <c r="C13" t="s">
        <v>1221</v>
      </c>
      <c r="M13" t="s">
        <v>46</v>
      </c>
      <c r="N13" t="s">
        <v>45</v>
      </c>
      <c r="O13" t="s">
        <v>142</v>
      </c>
      <c r="Q13" s="11" t="s">
        <v>1222</v>
      </c>
      <c r="R13" t="s">
        <v>1128</v>
      </c>
    </row>
    <row r="14" spans="1:28" ht="15.75" thickBot="1" x14ac:dyDescent="0.3">
      <c r="M14" t="s">
        <v>56</v>
      </c>
      <c r="Q14" s="12"/>
    </row>
    <row r="15" spans="1:28" ht="15.75" thickBot="1" x14ac:dyDescent="0.3">
      <c r="M15" t="s">
        <v>56</v>
      </c>
      <c r="Q15" s="11"/>
    </row>
    <row r="16" spans="1:28" ht="15.75" thickBot="1" x14ac:dyDescent="0.3">
      <c r="M16" t="s">
        <v>56</v>
      </c>
      <c r="Q16" s="12"/>
    </row>
    <row r="17" spans="13:35" ht="15.75" thickBot="1" x14ac:dyDescent="0.3">
      <c r="M17" t="s">
        <v>56</v>
      </c>
      <c r="Q17" s="11"/>
    </row>
    <row r="18" spans="13:35" x14ac:dyDescent="0.25">
      <c r="M18" t="s">
        <v>46</v>
      </c>
      <c r="Q18" s="13"/>
    </row>
    <row r="19" spans="13:35" x14ac:dyDescent="0.25">
      <c r="M19" t="s">
        <v>46</v>
      </c>
      <c r="Q19" s="99"/>
    </row>
    <row r="20" spans="13:35" x14ac:dyDescent="0.25">
      <c r="M20" t="s">
        <v>46</v>
      </c>
      <c r="Q20" s="100"/>
    </row>
    <row r="21" spans="13:35" ht="18.75" x14ac:dyDescent="0.3">
      <c r="M21" t="s">
        <v>46</v>
      </c>
      <c r="N21" t="s">
        <v>1160</v>
      </c>
      <c r="O21">
        <v>2</v>
      </c>
      <c r="Q21" t="s">
        <v>1199</v>
      </c>
      <c r="R21" t="s">
        <v>1158</v>
      </c>
      <c r="Y21" s="206"/>
      <c r="Z21" s="206"/>
      <c r="AA21" s="206"/>
      <c r="AF21" s="207" t="s">
        <v>1343</v>
      </c>
      <c r="AG21" s="207"/>
      <c r="AH21" s="207"/>
      <c r="AI21" s="207"/>
    </row>
    <row r="22" spans="13:35" ht="18.75" x14ac:dyDescent="0.3">
      <c r="M22" t="s">
        <v>46</v>
      </c>
      <c r="N22" t="s">
        <v>278</v>
      </c>
      <c r="O22">
        <v>3</v>
      </c>
      <c r="Q22" t="s">
        <v>1199</v>
      </c>
      <c r="R22" t="s">
        <v>1158</v>
      </c>
      <c r="AF22" s="195"/>
      <c r="AG22" s="195"/>
      <c r="AH22" s="195" t="s">
        <v>1342</v>
      </c>
      <c r="AI22" s="195" t="s">
        <v>1158</v>
      </c>
    </row>
    <row r="23" spans="13:35" ht="18.75" x14ac:dyDescent="0.3">
      <c r="M23" t="s">
        <v>46</v>
      </c>
      <c r="N23" t="s">
        <v>162</v>
      </c>
      <c r="O23">
        <v>4</v>
      </c>
      <c r="Q23" t="s">
        <v>1199</v>
      </c>
      <c r="R23" t="s">
        <v>1158</v>
      </c>
      <c r="AF23" s="195">
        <v>1</v>
      </c>
      <c r="AG23" s="195" t="s">
        <v>1161</v>
      </c>
      <c r="AH23" s="195"/>
      <c r="AI23" s="195"/>
    </row>
    <row r="24" spans="13:35" ht="18.75" x14ac:dyDescent="0.3">
      <c r="M24" t="s">
        <v>46</v>
      </c>
      <c r="N24" t="s">
        <v>45</v>
      </c>
      <c r="O24" t="s">
        <v>48</v>
      </c>
      <c r="Q24" t="s">
        <v>1199</v>
      </c>
      <c r="R24" t="s">
        <v>1158</v>
      </c>
      <c r="AF24" s="195">
        <v>2</v>
      </c>
      <c r="AG24" s="195" t="s">
        <v>1168</v>
      </c>
      <c r="AH24" s="195"/>
      <c r="AI24" s="195"/>
    </row>
    <row r="25" spans="13:35" ht="18.75" x14ac:dyDescent="0.3">
      <c r="M25" t="s">
        <v>46</v>
      </c>
      <c r="N25" t="s">
        <v>45</v>
      </c>
      <c r="O25" t="s">
        <v>137</v>
      </c>
      <c r="Q25" t="s">
        <v>1199</v>
      </c>
      <c r="R25" t="s">
        <v>1158</v>
      </c>
      <c r="AF25" s="195">
        <v>3</v>
      </c>
      <c r="AG25" s="195" t="s">
        <v>1174</v>
      </c>
      <c r="AH25" s="195"/>
      <c r="AI25" s="195"/>
    </row>
    <row r="26" spans="13:35" ht="18.75" x14ac:dyDescent="0.3">
      <c r="M26" t="s">
        <v>46</v>
      </c>
      <c r="N26" t="s">
        <v>45</v>
      </c>
      <c r="O26" t="s">
        <v>142</v>
      </c>
      <c r="Q26" t="s">
        <v>1199</v>
      </c>
      <c r="R26" t="s">
        <v>1158</v>
      </c>
      <c r="AF26" s="195">
        <v>4</v>
      </c>
      <c r="AG26" s="195" t="s">
        <v>1181</v>
      </c>
      <c r="AH26" s="195"/>
      <c r="AI26" s="195"/>
    </row>
    <row r="27" spans="13:35" ht="18.75" x14ac:dyDescent="0.3">
      <c r="AF27" s="195">
        <v>5</v>
      </c>
      <c r="AG27" s="195" t="s">
        <v>1188</v>
      </c>
      <c r="AH27" s="195"/>
      <c r="AI27" s="195"/>
    </row>
    <row r="28" spans="13:35" ht="18.75" x14ac:dyDescent="0.3">
      <c r="AF28" s="195">
        <v>6</v>
      </c>
      <c r="AG28" s="195" t="s">
        <v>1194</v>
      </c>
      <c r="AH28" s="195"/>
      <c r="AI28" s="195"/>
    </row>
    <row r="29" spans="13:35" ht="18.75" x14ac:dyDescent="0.3">
      <c r="AF29" s="195">
        <v>7</v>
      </c>
      <c r="AG29" s="195" t="s">
        <v>1199</v>
      </c>
      <c r="AH29" s="195"/>
      <c r="AI29" s="195"/>
    </row>
    <row r="30" spans="13:35" ht="18.75" x14ac:dyDescent="0.3">
      <c r="AF30" s="195">
        <v>8</v>
      </c>
      <c r="AG30" s="195" t="s">
        <v>1205</v>
      </c>
      <c r="AH30" s="195"/>
      <c r="AI30" s="195"/>
    </row>
    <row r="31" spans="13:35" ht="18.75" x14ac:dyDescent="0.3">
      <c r="AF31" s="195">
        <v>9</v>
      </c>
      <c r="AG31" s="195" t="s">
        <v>1209</v>
      </c>
      <c r="AH31" s="195"/>
      <c r="AI31" s="195"/>
    </row>
    <row r="32" spans="13:35" ht="18.75" x14ac:dyDescent="0.3">
      <c r="AF32" s="195">
        <v>10</v>
      </c>
      <c r="AG32" s="195" t="s">
        <v>1215</v>
      </c>
      <c r="AH32" s="195"/>
      <c r="AI32" s="195"/>
    </row>
    <row r="33" spans="32:35" ht="18.75" x14ac:dyDescent="0.3">
      <c r="AF33" s="195">
        <v>11</v>
      </c>
      <c r="AG33" s="195" t="s">
        <v>1219</v>
      </c>
      <c r="AH33" s="195"/>
      <c r="AI33" s="195"/>
    </row>
    <row r="34" spans="32:35" ht="18.75" x14ac:dyDescent="0.3">
      <c r="AF34" s="195">
        <v>12</v>
      </c>
      <c r="AG34" s="195" t="s">
        <v>1222</v>
      </c>
      <c r="AH34" s="195"/>
      <c r="AI34" s="195"/>
    </row>
    <row r="35" spans="32:35" ht="18.75" x14ac:dyDescent="0.3">
      <c r="AF35" s="195">
        <v>13</v>
      </c>
      <c r="AG35" s="195" t="s">
        <v>1344</v>
      </c>
      <c r="AH35" s="195"/>
      <c r="AI35" s="195"/>
    </row>
  </sheetData>
  <mergeCells count="2">
    <mergeCell ref="Y21:AA21"/>
    <mergeCell ref="AF21:AI21"/>
  </mergeCells>
  <phoneticPr fontId="18" type="noConversion"/>
  <conditionalFormatting sqref="P2:P26">
    <cfRule type="cellIs" dxfId="134" priority="1" operator="equal">
      <formula>0</formula>
    </cfRule>
  </conditionalFormatting>
  <dataValidations count="4">
    <dataValidation type="list" allowBlank="1" showInputMessage="1" showErrorMessage="1" sqref="O2:O26" xr:uid="{73CAA3AB-7E3E-431F-8E4F-A10943F9600D}">
      <formula1>$F:$F</formula1>
    </dataValidation>
    <dataValidation type="list" allowBlank="1" showInputMessage="1" showErrorMessage="1" sqref="M2:M26" xr:uid="{66BC0875-B4B3-49D9-BF7B-437B82F834B6}">
      <formula1>$G:$G</formula1>
    </dataValidation>
    <dataValidation type="list" allowBlank="1" showInputMessage="1" showErrorMessage="1" sqref="R2:R26" xr:uid="{D623B0C5-5DA1-474E-B891-22F5813858C9}">
      <formula1>$H:$H</formula1>
    </dataValidation>
    <dataValidation type="list" allowBlank="1" showInputMessage="1" showErrorMessage="1" sqref="B11" xr:uid="{9C02317C-3CFB-4420-A16C-8B8439FCED99}">
      <formula1>$D$11:$E$11</formula1>
    </dataValidation>
  </dataValidations>
  <pageMargins left="0.7" right="0.7" top="0.75" bottom="0.75" header="0.3" footer="0.3"/>
  <pageSetup scale="19" fitToHeight="0"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916C3-D0E5-412D-8BE6-43D3470909C0}">
  <sheetPr codeName="Sheet12">
    <tabColor rgb="FFFFC000"/>
  </sheetPr>
  <dimension ref="A1:T73"/>
  <sheetViews>
    <sheetView view="pageLayout" topLeftCell="Q1" zoomScaleNormal="100" workbookViewId="0">
      <selection activeCell="P10" sqref="P10"/>
    </sheetView>
  </sheetViews>
  <sheetFormatPr defaultColWidth="12.5703125" defaultRowHeight="15.75" x14ac:dyDescent="0.25"/>
  <cols>
    <col min="1" max="1" width="8.28515625" style="38" customWidth="1"/>
    <col min="2" max="2" width="4.42578125" style="38" customWidth="1"/>
    <col min="3" max="3" width="25.5703125" style="38" customWidth="1"/>
    <col min="4" max="5" width="4.85546875" style="38" customWidth="1"/>
    <col min="6" max="6" width="9.5703125" style="38" customWidth="1"/>
    <col min="7" max="8" width="3.140625" style="38" customWidth="1"/>
    <col min="9" max="10" width="5" style="38" customWidth="1"/>
    <col min="11" max="11" width="1.85546875" style="38" customWidth="1"/>
    <col min="12" max="12" width="5.5703125" style="38" customWidth="1"/>
    <col min="13" max="13" width="5" style="38" customWidth="1"/>
    <col min="14" max="14" width="3.7109375" style="38" customWidth="1"/>
    <col min="15" max="15" width="5" style="38" customWidth="1"/>
    <col min="16" max="16" width="6.42578125" style="38" customWidth="1"/>
    <col min="17" max="17" width="6.7109375" style="38" customWidth="1"/>
    <col min="18" max="18" width="22.5703125" style="38" customWidth="1"/>
    <col min="19" max="19" width="7" style="38" customWidth="1"/>
    <col min="20" max="16384" width="12.5703125" style="38"/>
  </cols>
  <sheetData>
    <row r="1" spans="1:20" ht="24.6" customHeight="1" x14ac:dyDescent="0.25">
      <c r="A1" s="36" t="s">
        <v>1223</v>
      </c>
      <c r="B1" s="42"/>
      <c r="C1" s="42"/>
      <c r="D1" s="42"/>
      <c r="E1" s="42"/>
      <c r="F1" s="42"/>
      <c r="G1" s="43"/>
      <c r="H1" s="42"/>
      <c r="I1" s="42"/>
      <c r="J1" s="44"/>
      <c r="K1" s="42"/>
      <c r="L1" s="42"/>
      <c r="M1" s="42"/>
      <c r="N1" s="42"/>
      <c r="O1" s="42"/>
      <c r="P1" s="45"/>
      <c r="Q1" s="30"/>
      <c r="R1" s="30"/>
      <c r="S1" s="10">
        <v>17</v>
      </c>
      <c r="T1" s="30"/>
    </row>
    <row r="2" spans="1:20" ht="24.6" customHeight="1" thickBot="1" x14ac:dyDescent="0.3">
      <c r="A2" s="33" t="s">
        <v>1224</v>
      </c>
      <c r="B2" s="34" t="str" cm="1">
        <f t="array" ref="B2">INDEX(studentdata[Name],S1)</f>
        <v>Abia Mahreen</v>
      </c>
      <c r="C2" s="35"/>
      <c r="D2" s="46"/>
      <c r="E2" s="46"/>
      <c r="F2" s="46"/>
      <c r="G2" s="47"/>
      <c r="H2" s="35"/>
      <c r="I2" s="37" t="s">
        <v>1225</v>
      </c>
      <c r="J2" s="37" cm="1">
        <f t="array" ref="J2">INDEX(studentdata[SN],S1)</f>
        <v>17</v>
      </c>
      <c r="L2" s="39" t="s">
        <v>1226</v>
      </c>
      <c r="M2" s="37" cm="1">
        <f t="array" ref="M2">INDEX(studentdata[Level],S1)</f>
        <v>4</v>
      </c>
      <c r="N2" s="37" t="str" cm="1">
        <f t="array" ref="N2">INDEX(studentdata[Gender],S1)</f>
        <v>F</v>
      </c>
      <c r="O2" s="40" t="s">
        <v>1227</v>
      </c>
      <c r="P2" s="41" cm="1">
        <f t="array" ref="P2">INDEX(studentdata[RG],S1)</f>
        <v>9</v>
      </c>
      <c r="S2" s="30"/>
      <c r="T2" s="51" t="s">
        <v>1228</v>
      </c>
    </row>
    <row r="3" spans="1:20" ht="24.6" customHeight="1" thickTop="1" x14ac:dyDescent="0.25">
      <c r="A3" s="29" t="s">
        <v>1229</v>
      </c>
      <c r="B3" s="30"/>
      <c r="C3" s="30"/>
      <c r="D3" s="30"/>
      <c r="E3" s="48"/>
      <c r="F3" s="48"/>
      <c r="G3" s="49"/>
      <c r="H3" s="50"/>
      <c r="I3" s="208" t="s">
        <v>1230</v>
      </c>
      <c r="J3" s="209"/>
      <c r="K3" s="209"/>
      <c r="L3" s="209"/>
      <c r="M3" s="209"/>
      <c r="N3" s="209"/>
      <c r="O3" s="209"/>
      <c r="P3" s="210"/>
      <c r="S3" s="55"/>
      <c r="T3" s="51" t="s">
        <v>1231</v>
      </c>
    </row>
    <row r="4" spans="1:20" ht="24.6" customHeight="1" x14ac:dyDescent="0.25">
      <c r="A4" s="29" t="s">
        <v>1232</v>
      </c>
      <c r="B4" s="30"/>
      <c r="C4" s="30"/>
      <c r="D4" s="30"/>
      <c r="E4" s="52"/>
      <c r="F4" s="52"/>
      <c r="G4" s="53"/>
      <c r="H4" s="54"/>
      <c r="I4" s="211"/>
      <c r="J4" s="211"/>
      <c r="K4" s="211"/>
      <c r="L4" s="211"/>
      <c r="M4" s="211"/>
      <c r="N4" s="211"/>
      <c r="O4" s="211"/>
      <c r="P4" s="212"/>
    </row>
    <row r="5" spans="1:20" ht="24.6" customHeight="1" x14ac:dyDescent="0.25">
      <c r="A5" s="29" t="s">
        <v>1233</v>
      </c>
      <c r="B5" s="30"/>
      <c r="C5" s="30"/>
      <c r="D5" s="30"/>
      <c r="E5" s="52"/>
      <c r="F5" s="52"/>
      <c r="G5" s="53"/>
      <c r="H5" s="54"/>
      <c r="I5" s="211"/>
      <c r="J5" s="211"/>
      <c r="K5" s="211"/>
      <c r="L5" s="211"/>
      <c r="M5" s="211"/>
      <c r="N5" s="211"/>
      <c r="O5" s="211"/>
      <c r="P5" s="212"/>
      <c r="Q5" s="30"/>
      <c r="R5" s="30"/>
    </row>
    <row r="6" spans="1:20" ht="24.6" customHeight="1" x14ac:dyDescent="0.25">
      <c r="A6" s="29" t="s">
        <v>1234</v>
      </c>
      <c r="B6" s="30"/>
      <c r="C6" s="30"/>
      <c r="D6" s="30"/>
      <c r="E6" s="52"/>
      <c r="F6" s="52"/>
      <c r="G6" s="53"/>
      <c r="H6" s="54"/>
      <c r="I6" s="211"/>
      <c r="J6" s="211"/>
      <c r="K6" s="211"/>
      <c r="L6" s="211"/>
      <c r="M6" s="211"/>
      <c r="N6" s="211"/>
      <c r="O6" s="211"/>
      <c r="P6" s="212"/>
      <c r="Q6" s="30"/>
      <c r="R6" s="30"/>
    </row>
    <row r="7" spans="1:20" ht="24.6" customHeight="1" x14ac:dyDescent="0.25">
      <c r="A7" s="29" t="s">
        <v>1235</v>
      </c>
      <c r="B7" s="30"/>
      <c r="C7" s="30"/>
      <c r="D7" s="30"/>
      <c r="E7" s="56"/>
      <c r="F7" s="56"/>
      <c r="G7" s="53"/>
      <c r="H7" s="54"/>
      <c r="I7" s="211"/>
      <c r="J7" s="211"/>
      <c r="K7" s="211"/>
      <c r="L7" s="211"/>
      <c r="M7" s="211"/>
      <c r="N7" s="211"/>
      <c r="O7" s="211"/>
      <c r="P7" s="212"/>
      <c r="Q7" s="30"/>
      <c r="R7" s="30"/>
    </row>
    <row r="8" spans="1:20" ht="24.6" customHeight="1" thickBot="1" x14ac:dyDescent="0.3">
      <c r="A8" s="31" t="s">
        <v>1236</v>
      </c>
      <c r="B8" s="32"/>
      <c r="C8" s="32"/>
      <c r="D8" s="32"/>
      <c r="E8" s="32"/>
      <c r="F8" s="32"/>
      <c r="G8" s="57"/>
      <c r="H8" s="58"/>
      <c r="I8" s="213"/>
      <c r="J8" s="213"/>
      <c r="K8" s="213"/>
      <c r="L8" s="213"/>
      <c r="M8" s="213"/>
      <c r="N8" s="213"/>
      <c r="O8" s="213"/>
      <c r="P8" s="214"/>
      <c r="Q8" s="30"/>
      <c r="R8" s="30"/>
    </row>
    <row r="9" spans="1:20" ht="24.6" customHeight="1" thickTop="1" x14ac:dyDescent="0.25">
      <c r="A9" s="59" t="s">
        <v>1237</v>
      </c>
      <c r="B9" s="60" t="str" cm="1">
        <f t="array" ref="B9">IFERROR(
   INDEX(
      teachersetting[Teacher],
      MATCH(1,
         (teachersetting[Level]=M2) *
         (teachersetting[Gender]=N2),
      0)
   ),
   ""
)</f>
        <v>Humayra Sumaiya</v>
      </c>
      <c r="C9" s="60"/>
      <c r="D9" s="61"/>
      <c r="E9" s="61"/>
      <c r="F9" s="61"/>
      <c r="G9" s="62"/>
      <c r="H9" s="63"/>
      <c r="I9" s="64" t="s">
        <v>1238</v>
      </c>
      <c r="J9" s="63"/>
      <c r="K9" s="60"/>
      <c r="L9" s="60"/>
      <c r="M9" s="61"/>
      <c r="N9" s="61"/>
      <c r="O9" s="61"/>
      <c r="P9" s="65"/>
      <c r="Q9" s="30"/>
      <c r="R9" s="30"/>
    </row>
    <row r="10" spans="1:20" ht="36" customHeight="1" x14ac:dyDescent="0.25">
      <c r="A10" s="30"/>
      <c r="B10" s="30"/>
      <c r="C10" s="30"/>
      <c r="D10" s="30"/>
      <c r="E10" s="30"/>
      <c r="F10" s="30"/>
      <c r="G10" s="30"/>
      <c r="H10" s="30"/>
      <c r="I10" s="30"/>
      <c r="J10" s="30"/>
      <c r="K10" s="30"/>
      <c r="L10" s="30"/>
      <c r="M10" s="30"/>
      <c r="N10" s="30"/>
      <c r="O10" s="30"/>
      <c r="P10" s="30"/>
      <c r="Q10" s="30"/>
      <c r="R10" s="30"/>
    </row>
    <row r="11" spans="1:20" ht="24.6" customHeight="1" x14ac:dyDescent="0.25">
      <c r="A11" s="36" t="str">
        <f>A1</f>
        <v>2025-2026 Semester 2 - Mid Term (Jan - Mar)</v>
      </c>
      <c r="B11" s="42"/>
      <c r="C11" s="42"/>
      <c r="D11" s="42"/>
      <c r="E11" s="42"/>
      <c r="F11" s="42"/>
      <c r="G11" s="43"/>
      <c r="H11" s="42"/>
      <c r="I11" s="42"/>
      <c r="J11" s="44"/>
      <c r="K11" s="42"/>
      <c r="L11" s="42"/>
      <c r="M11" s="42"/>
      <c r="N11" s="42"/>
      <c r="O11" s="42"/>
      <c r="P11" s="45"/>
      <c r="Q11" s="30"/>
      <c r="R11" s="30"/>
    </row>
    <row r="12" spans="1:20" ht="24.6" customHeight="1" thickBot="1" x14ac:dyDescent="0.3">
      <c r="A12" s="33" t="s">
        <v>1224</v>
      </c>
      <c r="B12" s="34" t="str" cm="1">
        <f t="array" ref="B12">INDEX(studentdata[Name],Q12)</f>
        <v>Mohammad Hasan</v>
      </c>
      <c r="C12" s="35"/>
      <c r="D12" s="46"/>
      <c r="E12" s="46"/>
      <c r="F12" s="46"/>
      <c r="G12" s="47"/>
      <c r="H12" s="35"/>
      <c r="I12" s="37" t="s">
        <v>1225</v>
      </c>
      <c r="J12" s="37" cm="1">
        <f t="array" ref="J12">INDEX(studentdata[SN],Q12)</f>
        <v>18</v>
      </c>
      <c r="L12" s="39" t="s">
        <v>1226</v>
      </c>
      <c r="M12" s="37" cm="1">
        <f t="array" ref="M12">INDEX(studentdata[Level],Q12)</f>
        <v>2</v>
      </c>
      <c r="N12" s="37" t="str" cm="1">
        <f t="array" ref="N12">INDEX(studentdata[Gender],Q12)</f>
        <v>M</v>
      </c>
      <c r="O12" s="40" t="s">
        <v>1227</v>
      </c>
      <c r="P12" s="41" cm="1">
        <f t="array" ref="P12">INDEX(studentdata[RG],Q12)</f>
        <v>10</v>
      </c>
      <c r="Q12" s="30">
        <f>S1+1</f>
        <v>18</v>
      </c>
      <c r="R12" s="30"/>
    </row>
    <row r="13" spans="1:20" ht="24.6" customHeight="1" thickTop="1" x14ac:dyDescent="0.25">
      <c r="A13" s="29" t="s">
        <v>1229</v>
      </c>
      <c r="B13" s="30"/>
      <c r="C13" s="30"/>
      <c r="D13" s="30"/>
      <c r="E13" s="48"/>
      <c r="F13" s="48"/>
      <c r="G13" s="49"/>
      <c r="H13" s="50"/>
      <c r="I13" s="208" t="s">
        <v>1239</v>
      </c>
      <c r="J13" s="209"/>
      <c r="K13" s="209"/>
      <c r="L13" s="209"/>
      <c r="M13" s="209"/>
      <c r="N13" s="209"/>
      <c r="O13" s="209"/>
      <c r="P13" s="210"/>
      <c r="Q13" s="30"/>
      <c r="R13" s="30"/>
    </row>
    <row r="14" spans="1:20" ht="24.6" customHeight="1" x14ac:dyDescent="0.25">
      <c r="A14" s="29" t="s">
        <v>1232</v>
      </c>
      <c r="B14" s="30"/>
      <c r="C14" s="30"/>
      <c r="D14" s="30"/>
      <c r="E14" s="52"/>
      <c r="F14" s="52"/>
      <c r="G14" s="53"/>
      <c r="H14" s="54"/>
      <c r="I14" s="211"/>
      <c r="J14" s="211"/>
      <c r="K14" s="211"/>
      <c r="L14" s="211"/>
      <c r="M14" s="211"/>
      <c r="N14" s="211"/>
      <c r="O14" s="211"/>
      <c r="P14" s="212"/>
      <c r="Q14" s="30"/>
      <c r="R14" s="30"/>
    </row>
    <row r="15" spans="1:20" ht="24.6" customHeight="1" x14ac:dyDescent="0.25">
      <c r="A15" s="29" t="s">
        <v>1233</v>
      </c>
      <c r="B15" s="30"/>
      <c r="C15" s="30"/>
      <c r="D15" s="30"/>
      <c r="E15" s="52"/>
      <c r="F15" s="52"/>
      <c r="G15" s="53"/>
      <c r="H15" s="54"/>
      <c r="I15" s="211"/>
      <c r="J15" s="211"/>
      <c r="K15" s="211"/>
      <c r="L15" s="211"/>
      <c r="M15" s="211"/>
      <c r="N15" s="211"/>
      <c r="O15" s="211"/>
      <c r="P15" s="212"/>
      <c r="Q15" s="30"/>
      <c r="R15" s="30"/>
    </row>
    <row r="16" spans="1:20" ht="24.6" customHeight="1" x14ac:dyDescent="0.25">
      <c r="A16" s="29" t="s">
        <v>1234</v>
      </c>
      <c r="B16" s="30"/>
      <c r="C16" s="30"/>
      <c r="D16" s="30"/>
      <c r="E16" s="52"/>
      <c r="F16" s="52"/>
      <c r="G16" s="53"/>
      <c r="H16" s="54"/>
      <c r="I16" s="211"/>
      <c r="J16" s="211"/>
      <c r="K16" s="211"/>
      <c r="L16" s="211"/>
      <c r="M16" s="211"/>
      <c r="N16" s="211"/>
      <c r="O16" s="211"/>
      <c r="P16" s="212"/>
      <c r="Q16" s="30"/>
      <c r="R16" s="30"/>
    </row>
    <row r="17" spans="1:17" ht="24.6" customHeight="1" x14ac:dyDescent="0.25">
      <c r="A17" s="29" t="s">
        <v>1235</v>
      </c>
      <c r="B17" s="30"/>
      <c r="C17" s="30"/>
      <c r="D17" s="30"/>
      <c r="E17" s="56"/>
      <c r="F17" s="56"/>
      <c r="G17" s="53"/>
      <c r="H17" s="54"/>
      <c r="I17" s="211"/>
      <c r="J17" s="211"/>
      <c r="K17" s="211"/>
      <c r="L17" s="211"/>
      <c r="M17" s="211"/>
      <c r="N17" s="211"/>
      <c r="O17" s="211"/>
      <c r="P17" s="212"/>
      <c r="Q17" s="30"/>
    </row>
    <row r="18" spans="1:17" ht="24.6" customHeight="1" thickBot="1" x14ac:dyDescent="0.3">
      <c r="A18" s="31" t="s">
        <v>1236</v>
      </c>
      <c r="B18" s="32"/>
      <c r="C18" s="32"/>
      <c r="D18" s="32"/>
      <c r="E18" s="32"/>
      <c r="F18" s="32"/>
      <c r="G18" s="57"/>
      <c r="H18" s="58"/>
      <c r="I18" s="213"/>
      <c r="J18" s="213"/>
      <c r="K18" s="213"/>
      <c r="L18" s="213"/>
      <c r="M18" s="213"/>
      <c r="N18" s="213"/>
      <c r="O18" s="213"/>
      <c r="P18" s="214"/>
      <c r="Q18" s="30"/>
    </row>
    <row r="19" spans="1:17" ht="24.6" customHeight="1" thickTop="1" x14ac:dyDescent="0.25">
      <c r="A19" s="59" t="s">
        <v>1237</v>
      </c>
      <c r="B19" s="60" t="str" cm="1">
        <f t="array" ref="B19">IFERROR(
   INDEX(
      teachersetting[Teacher],
      MATCH(1,
         (teachersetting[Level]=M12) *
         (teachersetting[Gender]=N12),
      0)
   ),
   ""
)</f>
        <v>Md Abdur Rashid</v>
      </c>
      <c r="C19" s="60"/>
      <c r="D19" s="61"/>
      <c r="E19" s="61"/>
      <c r="F19" s="61"/>
      <c r="G19" s="62"/>
      <c r="H19" s="63"/>
      <c r="I19" s="64" t="s">
        <v>1238</v>
      </c>
      <c r="J19" s="63"/>
      <c r="K19" s="60"/>
      <c r="L19" s="60"/>
      <c r="M19" s="61"/>
      <c r="N19" s="61"/>
      <c r="O19" s="61"/>
      <c r="P19" s="65"/>
      <c r="Q19" s="30"/>
    </row>
    <row r="20" spans="1:17" ht="36" customHeight="1" x14ac:dyDescent="0.25">
      <c r="A20" s="30"/>
      <c r="B20" s="30"/>
      <c r="C20" s="30"/>
      <c r="D20" s="30"/>
      <c r="E20" s="30"/>
      <c r="F20" s="30"/>
      <c r="G20" s="30"/>
      <c r="H20" s="30"/>
      <c r="I20" s="30"/>
      <c r="J20" s="30"/>
      <c r="K20" s="30"/>
      <c r="L20" s="30"/>
      <c r="M20" s="30"/>
      <c r="N20" s="30"/>
      <c r="O20" s="30"/>
      <c r="P20" s="30"/>
      <c r="Q20" s="30"/>
    </row>
    <row r="21" spans="1:17" ht="24.6" customHeight="1" x14ac:dyDescent="0.25">
      <c r="A21" s="36" t="str">
        <f>A11</f>
        <v>2025-2026 Semester 2 - Mid Term (Jan - Mar)</v>
      </c>
      <c r="B21" s="42"/>
      <c r="C21" s="42"/>
      <c r="D21" s="42"/>
      <c r="E21" s="42"/>
      <c r="F21" s="42"/>
      <c r="G21" s="43"/>
      <c r="H21" s="42"/>
      <c r="I21" s="42"/>
      <c r="J21" s="44"/>
      <c r="K21" s="42"/>
      <c r="L21" s="42"/>
      <c r="M21" s="42"/>
      <c r="N21" s="42"/>
      <c r="O21" s="42"/>
      <c r="P21" s="45"/>
      <c r="Q21" s="30"/>
    </row>
    <row r="22" spans="1:17" ht="24.6" customHeight="1" thickBot="1" x14ac:dyDescent="0.3">
      <c r="A22" s="33" t="s">
        <v>1224</v>
      </c>
      <c r="B22" s="34" t="str" cm="1">
        <f t="array" ref="B22">INDEX(studentdata[Name],Q22)</f>
        <v>Amina Abedin</v>
      </c>
      <c r="C22" s="35"/>
      <c r="D22" s="46"/>
      <c r="E22" s="46"/>
      <c r="F22" s="46"/>
      <c r="G22" s="47"/>
      <c r="H22" s="35"/>
      <c r="I22" s="37" t="s">
        <v>1225</v>
      </c>
      <c r="J22" s="37" cm="1">
        <f t="array" ref="J22">INDEX(studentdata[SN],Q22)</f>
        <v>19</v>
      </c>
      <c r="L22" s="39" t="s">
        <v>1226</v>
      </c>
      <c r="M22" s="37" t="str" cm="1">
        <f t="array" ref="M22">INDEX(studentdata[Level],Q22)</f>
        <v>1b</v>
      </c>
      <c r="N22" s="37" t="str" cm="1">
        <f t="array" ref="N22">INDEX(studentdata[Gender],Q22)</f>
        <v>F</v>
      </c>
      <c r="O22" s="40" t="s">
        <v>1227</v>
      </c>
      <c r="P22" s="41" cm="1">
        <f t="array" ref="P22">INDEX(studentdata[RG],Q22)</f>
        <v>10</v>
      </c>
      <c r="Q22" s="30">
        <f>S1+2</f>
        <v>19</v>
      </c>
    </row>
    <row r="23" spans="1:17" ht="24.6" customHeight="1" thickTop="1" x14ac:dyDescent="0.25">
      <c r="A23" s="29" t="s">
        <v>1229</v>
      </c>
      <c r="B23" s="30"/>
      <c r="C23" s="30"/>
      <c r="D23" s="30"/>
      <c r="E23" s="48"/>
      <c r="F23" s="48"/>
      <c r="G23" s="49"/>
      <c r="H23" s="50"/>
      <c r="I23" s="208" t="s">
        <v>1239</v>
      </c>
      <c r="J23" s="209"/>
      <c r="K23" s="209"/>
      <c r="L23" s="209"/>
      <c r="M23" s="209"/>
      <c r="N23" s="209"/>
      <c r="O23" s="209"/>
      <c r="P23" s="210"/>
      <c r="Q23" s="30"/>
    </row>
    <row r="24" spans="1:17" ht="24.6" customHeight="1" x14ac:dyDescent="0.25">
      <c r="A24" s="29" t="s">
        <v>1232</v>
      </c>
      <c r="B24" s="30"/>
      <c r="C24" s="30"/>
      <c r="D24" s="30"/>
      <c r="E24" s="52"/>
      <c r="F24" s="52"/>
      <c r="G24" s="53"/>
      <c r="H24" s="54"/>
      <c r="I24" s="211"/>
      <c r="J24" s="211"/>
      <c r="K24" s="211"/>
      <c r="L24" s="211"/>
      <c r="M24" s="211"/>
      <c r="N24" s="211"/>
      <c r="O24" s="211"/>
      <c r="P24" s="212"/>
      <c r="Q24" s="30"/>
    </row>
    <row r="25" spans="1:17" ht="24.6" customHeight="1" x14ac:dyDescent="0.25">
      <c r="A25" s="29" t="s">
        <v>1233</v>
      </c>
      <c r="B25" s="30"/>
      <c r="C25" s="30"/>
      <c r="D25" s="30"/>
      <c r="E25" s="52"/>
      <c r="F25" s="52"/>
      <c r="G25" s="53"/>
      <c r="H25" s="54"/>
      <c r="I25" s="211"/>
      <c r="J25" s="211"/>
      <c r="K25" s="211"/>
      <c r="L25" s="211"/>
      <c r="M25" s="211"/>
      <c r="N25" s="211"/>
      <c r="O25" s="211"/>
      <c r="P25" s="212"/>
      <c r="Q25" s="30"/>
    </row>
    <row r="26" spans="1:17" ht="24.6" customHeight="1" x14ac:dyDescent="0.25">
      <c r="A26" s="29" t="s">
        <v>1234</v>
      </c>
      <c r="B26" s="30"/>
      <c r="C26" s="30"/>
      <c r="D26" s="30"/>
      <c r="E26" s="52"/>
      <c r="F26" s="52"/>
      <c r="G26" s="53"/>
      <c r="H26" s="54"/>
      <c r="I26" s="211"/>
      <c r="J26" s="211"/>
      <c r="K26" s="211"/>
      <c r="L26" s="211"/>
      <c r="M26" s="211"/>
      <c r="N26" s="211"/>
      <c r="O26" s="211"/>
      <c r="P26" s="212"/>
      <c r="Q26" s="30"/>
    </row>
    <row r="27" spans="1:17" ht="24.6" customHeight="1" x14ac:dyDescent="0.25">
      <c r="A27" s="29" t="s">
        <v>1235</v>
      </c>
      <c r="B27" s="30"/>
      <c r="C27" s="30"/>
      <c r="D27" s="30"/>
      <c r="E27" s="56"/>
      <c r="F27" s="56"/>
      <c r="G27" s="53"/>
      <c r="H27" s="54"/>
      <c r="I27" s="211"/>
      <c r="J27" s="211"/>
      <c r="K27" s="211"/>
      <c r="L27" s="211"/>
      <c r="M27" s="211"/>
      <c r="N27" s="211"/>
      <c r="O27" s="211"/>
      <c r="P27" s="212"/>
      <c r="Q27" s="30"/>
    </row>
    <row r="28" spans="1:17" ht="24.6" customHeight="1" thickBot="1" x14ac:dyDescent="0.3">
      <c r="A28" s="31" t="s">
        <v>1236</v>
      </c>
      <c r="B28" s="32"/>
      <c r="C28" s="32"/>
      <c r="D28" s="32"/>
      <c r="E28" s="32"/>
      <c r="F28" s="32"/>
      <c r="G28" s="57"/>
      <c r="H28" s="58"/>
      <c r="I28" s="213"/>
      <c r="J28" s="213"/>
      <c r="K28" s="213"/>
      <c r="L28" s="213"/>
      <c r="M28" s="213"/>
      <c r="N28" s="213"/>
      <c r="O28" s="213"/>
      <c r="P28" s="214"/>
      <c r="Q28" s="30"/>
    </row>
    <row r="29" spans="1:17" ht="24.6" customHeight="1" thickTop="1" x14ac:dyDescent="0.25">
      <c r="A29" s="59" t="s">
        <v>1237</v>
      </c>
      <c r="B29" s="60" t="str" cm="1">
        <f t="array" ref="B29">IFERROR(
   INDEX(
      teachersetting[Teacher],
      MATCH(1,
         (teachersetting[Level]=M22) *
         (teachersetting[Gender]=N22),
      0)
   ),
   ""
)</f>
        <v>Samiha Rahman</v>
      </c>
      <c r="C29" s="60"/>
      <c r="D29" s="61"/>
      <c r="E29" s="61"/>
      <c r="F29" s="61"/>
      <c r="G29" s="62"/>
      <c r="H29" s="63"/>
      <c r="I29" s="64" t="s">
        <v>1238</v>
      </c>
      <c r="J29" s="63"/>
      <c r="K29" s="60"/>
      <c r="L29" s="60"/>
      <c r="M29" s="61"/>
      <c r="N29" s="61"/>
      <c r="O29" s="61"/>
      <c r="P29" s="65"/>
      <c r="Q29" s="30"/>
    </row>
    <row r="30" spans="1:17" ht="36" customHeight="1" x14ac:dyDescent="0.25">
      <c r="A30" s="30"/>
      <c r="B30" s="30"/>
      <c r="C30" s="30"/>
      <c r="D30" s="30"/>
      <c r="E30" s="30"/>
      <c r="F30" s="30"/>
      <c r="G30" s="30"/>
      <c r="H30" s="30"/>
      <c r="I30" s="30"/>
      <c r="J30" s="30"/>
      <c r="K30" s="30"/>
      <c r="L30" s="30"/>
      <c r="M30" s="30"/>
      <c r="N30" s="30"/>
      <c r="O30" s="30"/>
      <c r="P30" s="30"/>
      <c r="Q30" s="30"/>
    </row>
    <row r="67" spans="3:3" x14ac:dyDescent="0.25">
      <c r="C67" s="30" t="s">
        <v>49</v>
      </c>
    </row>
    <row r="68" spans="3:3" x14ac:dyDescent="0.25">
      <c r="C68" s="30" t="s">
        <v>49</v>
      </c>
    </row>
    <row r="69" spans="3:3" x14ac:dyDescent="0.25">
      <c r="C69" s="30" t="s">
        <v>49</v>
      </c>
    </row>
    <row r="70" spans="3:3" x14ac:dyDescent="0.25">
      <c r="C70" s="30" t="s">
        <v>49</v>
      </c>
    </row>
    <row r="71" spans="3:3" x14ac:dyDescent="0.25">
      <c r="C71" s="30" t="s">
        <v>49</v>
      </c>
    </row>
    <row r="72" spans="3:3" x14ac:dyDescent="0.25">
      <c r="C72" s="30" t="s">
        <v>49</v>
      </c>
    </row>
    <row r="73" spans="3:3" x14ac:dyDescent="0.25">
      <c r="C73" s="30" t="s">
        <v>49</v>
      </c>
    </row>
  </sheetData>
  <mergeCells count="3">
    <mergeCell ref="I3:P8"/>
    <mergeCell ref="I13:P18"/>
    <mergeCell ref="I23:P28"/>
  </mergeCells>
  <hyperlinks>
    <hyperlink ref="T2" location="reportcards!A1" display="reportcards" xr:uid="{18078AEE-9527-40F7-9990-E197D0A385B2}"/>
    <hyperlink ref="T3" location="Settings!A1" display="settings" xr:uid="{BDBB048E-59DB-4381-A2D9-1841CF495356}"/>
  </hyperlinks>
  <printOptions horizontalCentered="1"/>
  <pageMargins left="0.25" right="0.25" top="0.25" bottom="0.25" header="0" footer="0"/>
  <pageSetup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nerateAllReportCardsSheetFromSettings">
                <anchor moveWithCells="1" sizeWithCells="1">
                  <from>
                    <xdr:col>19</xdr:col>
                    <xdr:colOff>19050</xdr:colOff>
                    <xdr:row>0</xdr:row>
                    <xdr:rowOff>0</xdr:rowOff>
                  </from>
                  <to>
                    <xdr:col>19</xdr:col>
                    <xdr:colOff>1609725</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E12C9-9829-4260-AA23-2278F45EBE20}">
  <sheetPr codeName="Sheet14">
    <tabColor rgb="FFFFC000"/>
  </sheetPr>
  <dimension ref="A1:AH42"/>
  <sheetViews>
    <sheetView tabSelected="1" view="pageLayout" topLeftCell="A10" zoomScaleNormal="100" workbookViewId="0">
      <selection activeCell="A16" sqref="A16:AF19"/>
    </sheetView>
  </sheetViews>
  <sheetFormatPr defaultColWidth="3.140625" defaultRowHeight="18" customHeight="1" x14ac:dyDescent="0.25"/>
  <cols>
    <col min="1" max="32" width="3.140625" style="38"/>
    <col min="33" max="33" width="4.7109375" style="38" bestFit="1" customWidth="1"/>
    <col min="34" max="34" width="12.7109375" style="38" customWidth="1"/>
    <col min="35" max="16384" width="3.140625" style="38"/>
  </cols>
  <sheetData>
    <row r="1" spans="1:34" s="66" customFormat="1" ht="36" customHeight="1" x14ac:dyDescent="0.25">
      <c r="A1" s="227" t="s">
        <v>1240</v>
      </c>
      <c r="B1" s="227"/>
      <c r="C1" s="227"/>
      <c r="D1" s="227"/>
      <c r="E1" s="227"/>
      <c r="F1" s="227"/>
      <c r="G1" s="227"/>
      <c r="H1" s="227"/>
      <c r="I1" s="227"/>
      <c r="J1" s="227"/>
      <c r="K1" s="227"/>
      <c r="L1" s="227"/>
      <c r="M1" s="227"/>
      <c r="N1" s="227"/>
      <c r="O1" s="227"/>
      <c r="P1" s="227"/>
      <c r="Q1" s="227"/>
      <c r="R1" s="227"/>
      <c r="S1" s="227"/>
      <c r="T1" s="227"/>
      <c r="U1" s="227"/>
      <c r="V1" s="227"/>
      <c r="W1" s="227"/>
      <c r="X1" s="227"/>
      <c r="Y1" s="227"/>
      <c r="Z1" s="227"/>
      <c r="AA1" s="227"/>
      <c r="AB1" s="227"/>
      <c r="AC1" s="227"/>
      <c r="AD1" s="227"/>
      <c r="AE1" s="227"/>
      <c r="AF1" s="227"/>
      <c r="AG1" s="69">
        <v>84</v>
      </c>
      <c r="AH1" s="73"/>
    </row>
    <row r="2" spans="1:34" ht="18" customHeight="1" x14ac:dyDescent="0.25">
      <c r="A2" s="211" t="s">
        <v>1241</v>
      </c>
      <c r="B2" s="211"/>
      <c r="C2" s="211"/>
      <c r="D2" s="211"/>
      <c r="E2" s="211"/>
      <c r="F2" s="211"/>
      <c r="G2" s="211"/>
      <c r="H2" s="211"/>
      <c r="I2" s="211"/>
      <c r="J2" s="211"/>
      <c r="K2" s="211"/>
      <c r="L2" s="70"/>
      <c r="W2" s="228" t="s">
        <v>1346</v>
      </c>
      <c r="X2" s="228"/>
      <c r="Y2" s="228"/>
      <c r="Z2" s="228"/>
      <c r="AA2" s="228"/>
      <c r="AB2" s="228"/>
      <c r="AC2" s="228"/>
      <c r="AD2" s="228"/>
      <c r="AE2" s="228"/>
      <c r="AF2" s="228"/>
      <c r="AG2" s="30"/>
      <c r="AH2" s="51" t="s">
        <v>1228</v>
      </c>
    </row>
    <row r="3" spans="1:34" ht="18" customHeight="1" x14ac:dyDescent="0.25">
      <c r="A3" s="211"/>
      <c r="B3" s="211"/>
      <c r="C3" s="211"/>
      <c r="D3" s="211"/>
      <c r="E3" s="211"/>
      <c r="F3" s="211"/>
      <c r="G3" s="211"/>
      <c r="H3" s="211"/>
      <c r="I3" s="211"/>
      <c r="J3" s="211"/>
      <c r="K3" s="211"/>
      <c r="L3" s="70"/>
      <c r="W3" s="228"/>
      <c r="X3" s="228"/>
      <c r="Y3" s="228"/>
      <c r="Z3" s="228"/>
      <c r="AA3" s="228"/>
      <c r="AB3" s="228"/>
      <c r="AC3" s="228"/>
      <c r="AD3" s="228"/>
      <c r="AE3" s="228"/>
      <c r="AF3" s="228"/>
      <c r="AG3" s="55"/>
      <c r="AH3" s="51" t="s">
        <v>1231</v>
      </c>
    </row>
    <row r="4" spans="1:34" ht="18" customHeight="1" x14ac:dyDescent="0.25">
      <c r="A4" s="211"/>
      <c r="B4" s="211"/>
      <c r="C4" s="211"/>
      <c r="D4" s="211"/>
      <c r="E4" s="211"/>
      <c r="F4" s="211"/>
      <c r="G4" s="211"/>
      <c r="H4" s="211"/>
      <c r="I4" s="211"/>
      <c r="J4" s="211"/>
      <c r="K4" s="211"/>
      <c r="L4" s="67"/>
      <c r="M4" s="67"/>
      <c r="N4" s="67"/>
      <c r="O4" s="67"/>
      <c r="P4" s="67"/>
      <c r="Q4" s="67"/>
      <c r="R4" s="67"/>
      <c r="S4" s="67"/>
      <c r="T4" s="67"/>
      <c r="U4" s="67"/>
      <c r="V4" s="67"/>
      <c r="W4" s="228"/>
      <c r="X4" s="228"/>
      <c r="Y4" s="228"/>
      <c r="Z4" s="228"/>
      <c r="AA4" s="228"/>
      <c r="AB4" s="228"/>
      <c r="AC4" s="228"/>
      <c r="AD4" s="228"/>
      <c r="AE4" s="228"/>
      <c r="AF4" s="228"/>
    </row>
    <row r="5" spans="1:34" ht="18" customHeight="1" x14ac:dyDescent="0.25">
      <c r="A5" s="234" t="s">
        <v>1242</v>
      </c>
      <c r="B5" s="234"/>
      <c r="C5" s="234"/>
      <c r="D5" s="234"/>
      <c r="E5" s="234"/>
      <c r="F5" s="234"/>
      <c r="G5" s="234"/>
      <c r="H5" s="234"/>
      <c r="I5" s="234"/>
      <c r="J5" s="234"/>
      <c r="K5" s="234"/>
      <c r="L5" s="234"/>
      <c r="M5" s="234"/>
      <c r="N5" s="234"/>
      <c r="O5" s="234"/>
      <c r="P5" s="234"/>
      <c r="Q5" s="234"/>
      <c r="R5" s="234"/>
      <c r="S5" s="234"/>
      <c r="T5" s="234"/>
      <c r="U5" s="234"/>
      <c r="V5" s="234"/>
      <c r="W5" s="234"/>
      <c r="X5" s="234"/>
      <c r="Y5" s="234"/>
      <c r="Z5" s="234"/>
      <c r="AA5" s="234"/>
      <c r="AB5" s="234"/>
      <c r="AC5" s="234"/>
      <c r="AD5" s="234"/>
      <c r="AE5" s="234"/>
      <c r="AF5" s="234"/>
    </row>
    <row r="6" spans="1:34" ht="18" customHeight="1" x14ac:dyDescent="0.25">
      <c r="A6" s="229"/>
      <c r="B6" s="229"/>
      <c r="C6" s="229"/>
      <c r="D6" s="229"/>
      <c r="E6" s="229"/>
      <c r="F6" s="229"/>
      <c r="G6" s="229"/>
      <c r="H6" s="229"/>
      <c r="I6" s="229"/>
      <c r="J6" s="229"/>
      <c r="K6" s="229"/>
      <c r="L6" s="229"/>
      <c r="M6" s="229"/>
      <c r="N6" s="229"/>
      <c r="O6" s="229"/>
      <c r="P6" s="229"/>
      <c r="Q6" s="229"/>
      <c r="R6" s="229"/>
      <c r="S6" s="229"/>
      <c r="T6" s="229"/>
      <c r="U6" s="229"/>
      <c r="V6" s="229"/>
      <c r="W6" s="229"/>
      <c r="X6" s="229"/>
      <c r="Y6" s="229"/>
      <c r="Z6" s="229"/>
      <c r="AA6" s="229"/>
      <c r="AB6" s="229"/>
      <c r="AC6" s="229"/>
      <c r="AD6" s="229"/>
      <c r="AE6" s="229"/>
      <c r="AF6" s="229"/>
    </row>
    <row r="7" spans="1:34" ht="18" customHeight="1" x14ac:dyDescent="0.25">
      <c r="A7" s="229"/>
      <c r="B7" s="229"/>
      <c r="C7" s="229"/>
      <c r="D7" s="229"/>
      <c r="E7" s="229"/>
      <c r="F7" s="229"/>
      <c r="G7" s="229"/>
      <c r="H7" s="229"/>
      <c r="I7" s="229"/>
      <c r="J7" s="229"/>
      <c r="K7" s="229"/>
      <c r="L7" s="229"/>
      <c r="M7" s="229"/>
      <c r="N7" s="229"/>
      <c r="O7" s="229"/>
      <c r="P7" s="229"/>
      <c r="Q7" s="229"/>
      <c r="R7" s="229"/>
      <c r="S7" s="229"/>
      <c r="T7" s="229"/>
      <c r="U7" s="229"/>
      <c r="V7" s="229"/>
      <c r="W7" s="229"/>
      <c r="X7" s="229"/>
      <c r="Y7" s="229"/>
      <c r="Z7" s="229"/>
      <c r="AA7" s="229"/>
      <c r="AB7" s="229"/>
      <c r="AC7" s="229"/>
      <c r="AD7" s="229"/>
      <c r="AE7" s="229"/>
      <c r="AF7" s="229"/>
    </row>
    <row r="8" spans="1:34" ht="18" customHeight="1" x14ac:dyDescent="0.25">
      <c r="A8" s="230"/>
      <c r="B8" s="230"/>
      <c r="C8" s="230"/>
      <c r="D8" s="230"/>
      <c r="E8" s="230"/>
      <c r="F8" s="230"/>
      <c r="G8" s="230"/>
      <c r="H8" s="230"/>
      <c r="I8" s="230"/>
      <c r="J8" s="230"/>
      <c r="K8" s="230"/>
      <c r="L8" s="230"/>
      <c r="M8" s="230"/>
      <c r="N8" s="230"/>
      <c r="O8" s="230"/>
      <c r="P8" s="230"/>
      <c r="Q8" s="230"/>
      <c r="R8" s="230"/>
      <c r="S8" s="230"/>
      <c r="T8" s="230"/>
      <c r="U8" s="230"/>
      <c r="V8" s="230"/>
      <c r="W8" s="230"/>
      <c r="X8" s="230"/>
      <c r="Y8" s="230"/>
      <c r="Z8" s="230"/>
      <c r="AA8" s="230"/>
      <c r="AB8" s="230"/>
      <c r="AC8" s="230"/>
      <c r="AD8" s="230"/>
      <c r="AE8" s="230"/>
      <c r="AF8" s="230"/>
    </row>
    <row r="9" spans="1:34" ht="18" customHeight="1" x14ac:dyDescent="0.25">
      <c r="A9" s="231" t="s">
        <v>1243</v>
      </c>
      <c r="B9" s="232"/>
      <c r="C9" s="232"/>
      <c r="D9" s="232"/>
      <c r="E9" s="232"/>
      <c r="F9" s="232"/>
      <c r="G9" s="232"/>
      <c r="H9" s="232"/>
      <c r="I9" s="232"/>
      <c r="J9" s="232"/>
      <c r="K9" s="233"/>
      <c r="L9" s="231" t="s">
        <v>1244</v>
      </c>
      <c r="M9" s="232"/>
      <c r="N9" s="232"/>
      <c r="O9" s="232"/>
      <c r="P9" s="232"/>
      <c r="Q9" s="233"/>
      <c r="R9" s="215" t="s">
        <v>1245</v>
      </c>
      <c r="S9" s="215"/>
      <c r="T9" s="215"/>
      <c r="U9" s="215"/>
      <c r="V9" s="215" t="s">
        <v>1246</v>
      </c>
      <c r="W9" s="215"/>
      <c r="X9" s="215"/>
      <c r="Y9" s="215"/>
      <c r="Z9" s="215"/>
      <c r="AA9" s="215"/>
      <c r="AB9" s="215"/>
      <c r="AC9" s="215"/>
      <c r="AD9" s="215"/>
      <c r="AE9" s="215"/>
      <c r="AF9" s="215"/>
    </row>
    <row r="10" spans="1:34" ht="18" customHeight="1" x14ac:dyDescent="0.25">
      <c r="A10" s="217" t="s">
        <v>1247</v>
      </c>
      <c r="B10" s="218"/>
      <c r="C10" s="218"/>
      <c r="D10" s="218"/>
      <c r="E10" s="218"/>
      <c r="F10" s="218"/>
      <c r="G10" s="218"/>
      <c r="H10" s="218"/>
      <c r="I10" s="218"/>
      <c r="J10" s="218"/>
      <c r="K10" s="219"/>
      <c r="L10" s="217" t="s">
        <v>1248</v>
      </c>
      <c r="M10" s="218"/>
      <c r="N10" s="218"/>
      <c r="O10" s="218"/>
      <c r="P10" s="218"/>
      <c r="Q10" s="219"/>
      <c r="R10" s="235" t="s">
        <v>1249</v>
      </c>
      <c r="S10" s="235"/>
      <c r="T10" s="235"/>
      <c r="U10" s="235"/>
      <c r="V10" s="235" t="s">
        <v>1250</v>
      </c>
      <c r="W10" s="235"/>
      <c r="X10" s="235"/>
      <c r="Y10" s="235"/>
      <c r="Z10" s="235"/>
      <c r="AA10" s="235"/>
      <c r="AB10" s="235"/>
      <c r="AC10" s="235"/>
      <c r="AD10" s="235"/>
      <c r="AE10" s="235"/>
      <c r="AF10" s="235"/>
    </row>
    <row r="11" spans="1:34" ht="18" customHeight="1" x14ac:dyDescent="0.25">
      <c r="A11" s="217" t="s">
        <v>1251</v>
      </c>
      <c r="B11" s="218"/>
      <c r="C11" s="218"/>
      <c r="D11" s="218"/>
      <c r="E11" s="218"/>
      <c r="F11" s="218"/>
      <c r="G11" s="218"/>
      <c r="H11" s="218"/>
      <c r="I11" s="218"/>
      <c r="J11" s="218"/>
      <c r="K11" s="219"/>
      <c r="L11" s="220">
        <v>45893</v>
      </c>
      <c r="M11" s="221"/>
      <c r="N11" s="221"/>
      <c r="O11" s="221"/>
      <c r="P11" s="221"/>
      <c r="Q11" s="222"/>
      <c r="R11" s="235" t="s">
        <v>1252</v>
      </c>
      <c r="S11" s="235"/>
      <c r="T11" s="235"/>
      <c r="U11" s="235"/>
      <c r="V11" s="235" t="s">
        <v>1253</v>
      </c>
      <c r="W11" s="235"/>
      <c r="X11" s="235"/>
      <c r="Y11" s="235"/>
      <c r="Z11" s="235"/>
      <c r="AA11" s="235"/>
      <c r="AB11" s="235"/>
      <c r="AC11" s="235"/>
      <c r="AD11" s="235"/>
      <c r="AE11" s="235"/>
      <c r="AF11" s="235"/>
    </row>
    <row r="12" spans="1:34" ht="18" customHeight="1" x14ac:dyDescent="0.25">
      <c r="A12" s="217" t="s">
        <v>1254</v>
      </c>
      <c r="B12" s="218"/>
      <c r="C12" s="218"/>
      <c r="D12" s="218"/>
      <c r="E12" s="218"/>
      <c r="F12" s="218"/>
      <c r="G12" s="218"/>
      <c r="H12" s="218"/>
      <c r="I12" s="218"/>
      <c r="J12" s="218"/>
      <c r="K12" s="219"/>
      <c r="L12" s="220">
        <v>45906</v>
      </c>
      <c r="M12" s="221"/>
      <c r="N12" s="221"/>
      <c r="O12" s="221"/>
      <c r="P12" s="221"/>
      <c r="Q12" s="222"/>
      <c r="R12" s="235" t="s">
        <v>1255</v>
      </c>
      <c r="S12" s="235"/>
      <c r="T12" s="235"/>
      <c r="U12" s="235"/>
      <c r="V12" s="235" t="s">
        <v>1256</v>
      </c>
      <c r="W12" s="235"/>
      <c r="X12" s="235"/>
      <c r="Y12" s="235"/>
      <c r="Z12" s="235"/>
      <c r="AA12" s="235"/>
      <c r="AB12" s="235"/>
      <c r="AC12" s="235"/>
      <c r="AD12" s="235"/>
      <c r="AE12" s="235"/>
      <c r="AF12" s="235"/>
    </row>
    <row r="13" spans="1:34" ht="18" customHeight="1" x14ac:dyDescent="0.25">
      <c r="A13" s="217" t="s">
        <v>1257</v>
      </c>
      <c r="B13" s="218"/>
      <c r="C13" s="218"/>
      <c r="D13" s="218"/>
      <c r="E13" s="218"/>
      <c r="F13" s="218"/>
      <c r="G13" s="218"/>
      <c r="H13" s="218"/>
      <c r="I13" s="218"/>
      <c r="J13" s="218"/>
      <c r="K13" s="219"/>
      <c r="L13" s="220">
        <v>45902</v>
      </c>
      <c r="M13" s="221"/>
      <c r="N13" s="221"/>
      <c r="O13" s="221"/>
      <c r="P13" s="221"/>
      <c r="Q13" s="222"/>
      <c r="R13" s="235" t="s">
        <v>1258</v>
      </c>
      <c r="S13" s="235"/>
      <c r="T13" s="235"/>
      <c r="U13" s="235"/>
      <c r="V13" s="235" t="s">
        <v>1259</v>
      </c>
      <c r="W13" s="235"/>
      <c r="X13" s="235"/>
      <c r="Y13" s="235"/>
      <c r="Z13" s="235"/>
      <c r="AA13" s="235"/>
      <c r="AB13" s="235"/>
      <c r="AC13" s="235"/>
      <c r="AD13" s="235"/>
      <c r="AE13" s="235"/>
      <c r="AF13" s="235"/>
    </row>
    <row r="14" spans="1:34" ht="18" customHeight="1" x14ac:dyDescent="0.25">
      <c r="A14" s="68" t="s">
        <v>1260</v>
      </c>
      <c r="B14" s="68"/>
      <c r="C14" s="68"/>
      <c r="D14" s="68"/>
      <c r="E14" s="68"/>
      <c r="F14" s="68"/>
      <c r="G14" s="68"/>
      <c r="H14" s="68"/>
      <c r="I14" s="68"/>
      <c r="J14" s="68"/>
      <c r="K14" s="68"/>
      <c r="L14" s="68"/>
      <c r="M14" s="68"/>
      <c r="N14" s="71"/>
      <c r="O14" s="68"/>
      <c r="P14" s="68"/>
      <c r="Q14" s="68"/>
      <c r="R14" s="68"/>
      <c r="S14" s="68"/>
      <c r="T14" s="68"/>
      <c r="U14" s="68"/>
      <c r="V14" s="68"/>
      <c r="W14" s="68"/>
      <c r="X14" s="68"/>
      <c r="Y14" s="68"/>
      <c r="Z14" s="68"/>
      <c r="AA14" s="68"/>
      <c r="AB14" s="68"/>
      <c r="AC14" s="68"/>
      <c r="AD14" s="68"/>
      <c r="AE14" s="68"/>
      <c r="AF14" s="68"/>
    </row>
    <row r="15" spans="1:34" ht="18" customHeight="1" x14ac:dyDescent="0.25">
      <c r="A15" s="67"/>
      <c r="B15" s="67"/>
      <c r="C15" s="67"/>
      <c r="D15" s="67"/>
      <c r="E15" s="67"/>
      <c r="F15" s="67"/>
      <c r="G15" s="67"/>
      <c r="H15" s="67"/>
      <c r="I15" s="67"/>
      <c r="J15" s="67"/>
      <c r="K15" s="67"/>
      <c r="L15" s="67"/>
      <c r="M15" s="67"/>
      <c r="N15" s="67"/>
      <c r="O15" s="67"/>
      <c r="P15" s="67"/>
      <c r="Q15" s="67"/>
      <c r="R15" s="67"/>
    </row>
    <row r="16" spans="1:34" ht="18" customHeight="1" x14ac:dyDescent="0.25">
      <c r="A16" s="229" t="s">
        <v>1261</v>
      </c>
      <c r="B16" s="229"/>
      <c r="C16" s="229"/>
      <c r="D16" s="229"/>
      <c r="E16" s="229"/>
      <c r="F16" s="229"/>
      <c r="G16" s="229"/>
      <c r="H16" s="229"/>
      <c r="I16" s="229"/>
      <c r="J16" s="229"/>
      <c r="K16" s="229"/>
      <c r="L16" s="229"/>
      <c r="M16" s="229"/>
      <c r="N16" s="229"/>
      <c r="O16" s="229"/>
      <c r="P16" s="229"/>
      <c r="Q16" s="229"/>
      <c r="R16" s="229"/>
      <c r="S16" s="229"/>
      <c r="T16" s="229"/>
      <c r="U16" s="229"/>
      <c r="V16" s="229"/>
      <c r="W16" s="229"/>
      <c r="X16" s="229"/>
      <c r="Y16" s="229"/>
      <c r="Z16" s="229"/>
      <c r="AA16" s="229"/>
      <c r="AB16" s="229"/>
      <c r="AC16" s="229"/>
      <c r="AD16" s="229"/>
      <c r="AE16" s="229"/>
      <c r="AF16" s="229"/>
    </row>
    <row r="17" spans="1:32" ht="18" customHeight="1" x14ac:dyDescent="0.25">
      <c r="A17" s="229"/>
      <c r="B17" s="229"/>
      <c r="C17" s="229"/>
      <c r="D17" s="229"/>
      <c r="E17" s="229"/>
      <c r="F17" s="229"/>
      <c r="G17" s="229"/>
      <c r="H17" s="229"/>
      <c r="I17" s="229"/>
      <c r="J17" s="229"/>
      <c r="K17" s="229"/>
      <c r="L17" s="229"/>
      <c r="M17" s="229"/>
      <c r="N17" s="229"/>
      <c r="O17" s="229"/>
      <c r="P17" s="229"/>
      <c r="Q17" s="229"/>
      <c r="R17" s="229"/>
      <c r="S17" s="229"/>
      <c r="T17" s="229"/>
      <c r="U17" s="229"/>
      <c r="V17" s="229"/>
      <c r="W17" s="229"/>
      <c r="X17" s="229"/>
      <c r="Y17" s="229"/>
      <c r="Z17" s="229"/>
      <c r="AA17" s="229"/>
      <c r="AB17" s="229"/>
      <c r="AC17" s="229"/>
      <c r="AD17" s="229"/>
      <c r="AE17" s="229"/>
      <c r="AF17" s="229"/>
    </row>
    <row r="18" spans="1:32" ht="18" customHeight="1" x14ac:dyDescent="0.25">
      <c r="A18" s="229"/>
      <c r="B18" s="229"/>
      <c r="C18" s="229"/>
      <c r="D18" s="229"/>
      <c r="E18" s="229"/>
      <c r="F18" s="229"/>
      <c r="G18" s="229"/>
      <c r="H18" s="229"/>
      <c r="I18" s="229"/>
      <c r="J18" s="229"/>
      <c r="K18" s="229"/>
      <c r="L18" s="229"/>
      <c r="M18" s="229"/>
      <c r="N18" s="229"/>
      <c r="O18" s="229"/>
      <c r="P18" s="229"/>
      <c r="Q18" s="229"/>
      <c r="R18" s="229"/>
      <c r="S18" s="229"/>
      <c r="T18" s="229"/>
      <c r="U18" s="229"/>
      <c r="V18" s="229"/>
      <c r="W18" s="229"/>
      <c r="X18" s="229"/>
      <c r="Y18" s="229"/>
      <c r="Z18" s="229"/>
      <c r="AA18" s="229"/>
      <c r="AB18" s="229"/>
      <c r="AC18" s="229"/>
      <c r="AD18" s="229"/>
      <c r="AE18" s="229"/>
      <c r="AF18" s="229"/>
    </row>
    <row r="19" spans="1:32" ht="18" customHeight="1" x14ac:dyDescent="0.25">
      <c r="A19" s="230"/>
      <c r="B19" s="230"/>
      <c r="C19" s="230"/>
      <c r="D19" s="230"/>
      <c r="E19" s="230"/>
      <c r="F19" s="230"/>
      <c r="G19" s="230"/>
      <c r="H19" s="230"/>
      <c r="I19" s="230"/>
      <c r="J19" s="230"/>
      <c r="K19" s="230"/>
      <c r="L19" s="230"/>
      <c r="M19" s="230"/>
      <c r="N19" s="230"/>
      <c r="O19" s="230"/>
      <c r="P19" s="230"/>
      <c r="Q19" s="230"/>
      <c r="R19" s="230"/>
      <c r="S19" s="230"/>
      <c r="T19" s="230"/>
      <c r="U19" s="230"/>
      <c r="V19" s="230"/>
      <c r="W19" s="230"/>
      <c r="X19" s="230"/>
      <c r="Y19" s="230"/>
      <c r="Z19" s="230"/>
      <c r="AA19" s="230"/>
      <c r="AB19" s="230"/>
      <c r="AC19" s="230"/>
      <c r="AD19" s="230"/>
      <c r="AE19" s="230"/>
      <c r="AF19" s="230"/>
    </row>
    <row r="20" spans="1:32" ht="18" customHeight="1" x14ac:dyDescent="0.25">
      <c r="A20" s="231" t="s">
        <v>1262</v>
      </c>
      <c r="B20" s="232"/>
      <c r="C20" s="232"/>
      <c r="D20" s="232"/>
      <c r="E20" s="232"/>
      <c r="F20" s="232"/>
      <c r="G20" s="232"/>
      <c r="H20" s="232"/>
      <c r="I20" s="232"/>
      <c r="J20" s="232"/>
      <c r="K20" s="233"/>
      <c r="L20" s="231" t="s">
        <v>1263</v>
      </c>
      <c r="M20" s="232"/>
      <c r="N20" s="232"/>
      <c r="O20" s="232"/>
      <c r="P20" s="232"/>
      <c r="Q20" s="233"/>
      <c r="R20" s="215" t="s">
        <v>1264</v>
      </c>
      <c r="S20" s="215"/>
      <c r="T20" s="215"/>
      <c r="U20" s="215"/>
      <c r="V20" s="215" t="s">
        <v>1265</v>
      </c>
      <c r="W20" s="215"/>
      <c r="X20" s="215"/>
      <c r="Y20" s="215"/>
      <c r="Z20" s="215"/>
      <c r="AA20" s="215"/>
      <c r="AB20" s="215"/>
      <c r="AC20" s="215"/>
      <c r="AD20" s="215"/>
      <c r="AE20" s="215"/>
      <c r="AF20" s="215"/>
    </row>
    <row r="21" spans="1:32" ht="18" customHeight="1" x14ac:dyDescent="0.25">
      <c r="A21" s="217" t="s">
        <v>1266</v>
      </c>
      <c r="B21" s="218"/>
      <c r="C21" s="218"/>
      <c r="D21" s="218"/>
      <c r="E21" s="218"/>
      <c r="F21" s="218"/>
      <c r="G21" s="218"/>
      <c r="H21" s="218"/>
      <c r="I21" s="218"/>
      <c r="J21" s="218"/>
      <c r="K21" s="219"/>
      <c r="L21" s="217" t="s">
        <v>1267</v>
      </c>
      <c r="M21" s="218"/>
      <c r="N21" s="218"/>
      <c r="O21" s="218"/>
      <c r="P21" s="218"/>
      <c r="Q21" s="219"/>
      <c r="R21" s="235" t="s">
        <v>1268</v>
      </c>
      <c r="S21" s="235"/>
      <c r="T21" s="235"/>
      <c r="U21" s="235"/>
      <c r="V21" s="235" t="s">
        <v>1269</v>
      </c>
      <c r="W21" s="235"/>
      <c r="X21" s="235"/>
      <c r="Y21" s="235"/>
      <c r="Z21" s="235"/>
      <c r="AA21" s="235"/>
      <c r="AB21" s="235"/>
      <c r="AC21" s="235"/>
      <c r="AD21" s="235"/>
      <c r="AE21" s="235"/>
      <c r="AF21" s="235"/>
    </row>
    <row r="22" spans="1:32" ht="18" customHeight="1" x14ac:dyDescent="0.25">
      <c r="A22" s="217" t="s">
        <v>1270</v>
      </c>
      <c r="B22" s="218"/>
      <c r="C22" s="218"/>
      <c r="D22" s="218"/>
      <c r="E22" s="218"/>
      <c r="F22" s="218"/>
      <c r="G22" s="218"/>
      <c r="H22" s="218"/>
      <c r="I22" s="218"/>
      <c r="J22" s="218"/>
      <c r="K22" s="219"/>
      <c r="L22" s="220" t="s">
        <v>1271</v>
      </c>
      <c r="M22" s="221"/>
      <c r="N22" s="221"/>
      <c r="O22" s="221"/>
      <c r="P22" s="221"/>
      <c r="Q22" s="222"/>
      <c r="R22" s="235" t="s">
        <v>1272</v>
      </c>
      <c r="S22" s="235"/>
      <c r="T22" s="235"/>
      <c r="U22" s="235"/>
      <c r="V22" s="235" t="s">
        <v>1273</v>
      </c>
      <c r="W22" s="235"/>
      <c r="X22" s="235"/>
      <c r="Y22" s="235"/>
      <c r="Z22" s="235"/>
      <c r="AA22" s="235"/>
      <c r="AB22" s="235"/>
      <c r="AC22" s="235"/>
      <c r="AD22" s="235"/>
      <c r="AE22" s="235"/>
      <c r="AF22" s="235"/>
    </row>
    <row r="23" spans="1:32" ht="18" customHeight="1" x14ac:dyDescent="0.25">
      <c r="A23" s="217" t="s">
        <v>1274</v>
      </c>
      <c r="B23" s="218"/>
      <c r="C23" s="218"/>
      <c r="D23" s="218"/>
      <c r="E23" s="218"/>
      <c r="F23" s="218"/>
      <c r="G23" s="218"/>
      <c r="H23" s="218"/>
      <c r="I23" s="218"/>
      <c r="J23" s="218"/>
      <c r="K23" s="219"/>
      <c r="L23" s="220" t="s">
        <v>1275</v>
      </c>
      <c r="M23" s="221"/>
      <c r="N23" s="221"/>
      <c r="O23" s="221"/>
      <c r="P23" s="221"/>
      <c r="Q23" s="222"/>
      <c r="R23" s="235" t="s">
        <v>1276</v>
      </c>
      <c r="S23" s="235"/>
      <c r="T23" s="235"/>
      <c r="U23" s="235"/>
      <c r="V23" s="235" t="s">
        <v>1277</v>
      </c>
      <c r="W23" s="235"/>
      <c r="X23" s="235"/>
      <c r="Y23" s="235"/>
      <c r="Z23" s="235"/>
      <c r="AA23" s="235"/>
      <c r="AB23" s="235"/>
      <c r="AC23" s="235"/>
      <c r="AD23" s="235"/>
      <c r="AE23" s="235"/>
      <c r="AF23" s="235"/>
    </row>
    <row r="24" spans="1:32" ht="18" customHeight="1" x14ac:dyDescent="0.25">
      <c r="A24" s="223" t="s">
        <v>1278</v>
      </c>
      <c r="B24" s="224"/>
      <c r="C24" s="224"/>
      <c r="D24" s="224"/>
      <c r="E24" s="224"/>
      <c r="F24" s="224"/>
      <c r="G24" s="224"/>
      <c r="H24" s="224"/>
      <c r="I24" s="224"/>
      <c r="J24" s="224"/>
      <c r="K24" s="225"/>
      <c r="L24" s="220" t="s">
        <v>1279</v>
      </c>
      <c r="M24" s="221"/>
      <c r="N24" s="221"/>
      <c r="O24" s="221"/>
      <c r="P24" s="221"/>
      <c r="Q24" s="222"/>
      <c r="R24" s="235" t="s">
        <v>1280</v>
      </c>
      <c r="S24" s="235"/>
      <c r="T24" s="235"/>
      <c r="U24" s="235"/>
      <c r="V24" s="235" t="s">
        <v>1281</v>
      </c>
      <c r="W24" s="235"/>
      <c r="X24" s="235"/>
      <c r="Y24" s="235"/>
      <c r="Z24" s="235"/>
      <c r="AA24" s="235"/>
      <c r="AB24" s="235"/>
      <c r="AC24" s="235"/>
      <c r="AD24" s="235"/>
      <c r="AE24" s="235"/>
      <c r="AF24" s="235"/>
    </row>
    <row r="25" spans="1:32" ht="18" customHeight="1" x14ac:dyDescent="0.25">
      <c r="A25" s="67" t="s">
        <v>1282</v>
      </c>
      <c r="B25" s="67"/>
      <c r="C25" s="67"/>
      <c r="D25" s="67"/>
      <c r="E25" s="67"/>
      <c r="F25" s="67"/>
      <c r="G25" s="67"/>
      <c r="H25" s="67"/>
      <c r="I25" s="67"/>
      <c r="J25" s="67"/>
      <c r="K25" s="67"/>
      <c r="L25" s="67"/>
      <c r="M25" s="67"/>
      <c r="N25" s="67"/>
      <c r="O25" s="67"/>
      <c r="P25" s="67"/>
      <c r="Q25" s="67"/>
      <c r="R25" s="67"/>
      <c r="S25" s="67"/>
      <c r="T25" s="67"/>
      <c r="U25" s="67"/>
      <c r="V25" s="67"/>
      <c r="W25" s="67"/>
      <c r="X25" s="67"/>
      <c r="Y25" s="67"/>
      <c r="Z25" s="67"/>
      <c r="AA25" s="67"/>
      <c r="AB25" s="67"/>
    </row>
    <row r="26" spans="1:32" ht="18" customHeight="1" x14ac:dyDescent="0.25">
      <c r="A26" s="67"/>
      <c r="B26" s="67"/>
      <c r="C26" s="67"/>
      <c r="D26" s="67"/>
      <c r="E26" s="67"/>
      <c r="F26" s="67"/>
      <c r="G26" s="67"/>
      <c r="H26" s="67"/>
      <c r="I26" s="67"/>
      <c r="J26" s="67"/>
      <c r="K26" s="67"/>
      <c r="L26" s="67"/>
      <c r="M26" s="67"/>
      <c r="N26" s="67"/>
      <c r="O26" s="67"/>
      <c r="P26" s="67"/>
      <c r="Q26" s="67"/>
      <c r="R26" s="67"/>
      <c r="S26" s="67"/>
      <c r="T26" s="67"/>
      <c r="U26" s="67"/>
      <c r="V26" s="67"/>
      <c r="W26" s="67"/>
      <c r="X26" s="67"/>
      <c r="Y26" s="67"/>
      <c r="Z26" s="67"/>
      <c r="AA26" s="67"/>
      <c r="AB26" s="67"/>
    </row>
    <row r="27" spans="1:32" ht="18" customHeight="1" x14ac:dyDescent="0.25">
      <c r="A27" s="236" t="s">
        <v>1283</v>
      </c>
      <c r="B27" s="236"/>
      <c r="C27" s="170" t="s">
        <v>1284</v>
      </c>
      <c r="D27" s="170" t="s">
        <v>1284</v>
      </c>
      <c r="E27" s="170" t="s">
        <v>1284</v>
      </c>
      <c r="F27" s="170" t="s">
        <v>1284</v>
      </c>
      <c r="G27" s="170" t="s">
        <v>1284</v>
      </c>
      <c r="H27" s="170" t="s">
        <v>1284</v>
      </c>
      <c r="I27" s="170" t="s">
        <v>1284</v>
      </c>
      <c r="J27" s="170" t="s">
        <v>1284</v>
      </c>
      <c r="K27" s="170" t="s">
        <v>1284</v>
      </c>
      <c r="L27" s="170" t="s">
        <v>1284</v>
      </c>
      <c r="M27" s="170" t="s">
        <v>1284</v>
      </c>
      <c r="N27" s="170" t="s">
        <v>1284</v>
      </c>
      <c r="O27" s="170" t="s">
        <v>1284</v>
      </c>
      <c r="P27" s="170" t="s">
        <v>1284</v>
      </c>
      <c r="Q27" s="170" t="s">
        <v>1284</v>
      </c>
      <c r="R27" s="170" t="s">
        <v>1284</v>
      </c>
      <c r="S27" s="170" t="s">
        <v>1284</v>
      </c>
      <c r="T27" s="170" t="s">
        <v>1284</v>
      </c>
      <c r="U27" s="170" t="s">
        <v>1284</v>
      </c>
      <c r="V27" s="170" t="s">
        <v>1284</v>
      </c>
      <c r="W27" s="170" t="s">
        <v>1284</v>
      </c>
      <c r="X27" s="170" t="s">
        <v>1284</v>
      </c>
      <c r="Y27" s="170" t="s">
        <v>1284</v>
      </c>
      <c r="Z27" s="170" t="s">
        <v>1284</v>
      </c>
      <c r="AA27" s="170" t="s">
        <v>1284</v>
      </c>
      <c r="AB27" s="170" t="s">
        <v>1284</v>
      </c>
      <c r="AC27" s="170" t="s">
        <v>1284</v>
      </c>
      <c r="AD27" s="170" t="s">
        <v>1284</v>
      </c>
      <c r="AE27" s="170" t="s">
        <v>1284</v>
      </c>
      <c r="AF27" s="170" t="s">
        <v>1284</v>
      </c>
    </row>
    <row r="28" spans="1:32" ht="18" customHeight="1" x14ac:dyDescent="0.25">
      <c r="A28" s="174"/>
      <c r="B28" s="174"/>
      <c r="C28" s="170"/>
      <c r="D28" s="170"/>
      <c r="E28" s="170"/>
      <c r="F28" s="170"/>
      <c r="G28" s="170"/>
      <c r="H28" s="170"/>
      <c r="I28" s="170"/>
      <c r="J28" s="170"/>
      <c r="K28" s="170"/>
      <c r="L28" s="170"/>
      <c r="M28" s="170"/>
      <c r="N28" s="170"/>
      <c r="O28" s="170"/>
      <c r="P28" s="170"/>
      <c r="Q28" s="170"/>
      <c r="R28" s="170"/>
      <c r="S28" s="170"/>
      <c r="T28" s="170"/>
      <c r="U28" s="170"/>
      <c r="V28" s="170"/>
      <c r="W28" s="170"/>
      <c r="X28" s="170"/>
      <c r="Y28" s="170"/>
      <c r="Z28" s="170"/>
      <c r="AA28" s="170"/>
      <c r="AB28" s="170"/>
      <c r="AC28" s="170"/>
      <c r="AD28" s="170"/>
      <c r="AE28" s="170"/>
      <c r="AF28" s="170"/>
    </row>
    <row r="29" spans="1:32" ht="18" customHeight="1" x14ac:dyDescent="0.25">
      <c r="A29" s="226" t="s">
        <v>1285</v>
      </c>
      <c r="B29" s="226"/>
      <c r="C29" s="226"/>
      <c r="D29" s="226"/>
      <c r="E29" s="226"/>
      <c r="F29" s="226"/>
      <c r="G29" s="226"/>
      <c r="H29" s="226"/>
      <c r="I29" s="226"/>
      <c r="J29" s="226"/>
      <c r="K29" s="226"/>
      <c r="L29" s="226"/>
      <c r="M29" s="226"/>
      <c r="N29" s="226"/>
      <c r="O29" s="226"/>
      <c r="P29" s="226"/>
      <c r="Q29" s="226"/>
      <c r="R29" s="226"/>
      <c r="S29" s="226"/>
      <c r="T29" s="226"/>
      <c r="U29" s="226"/>
      <c r="V29" s="226"/>
      <c r="W29" s="226"/>
      <c r="X29" s="226"/>
      <c r="Y29" s="226"/>
      <c r="Z29" s="226"/>
      <c r="AA29" s="226"/>
      <c r="AB29" s="226"/>
      <c r="AC29" s="226"/>
      <c r="AD29" s="226"/>
      <c r="AE29" s="226"/>
      <c r="AF29" s="226"/>
    </row>
    <row r="30" spans="1:32" ht="18" customHeight="1" x14ac:dyDescent="0.25">
      <c r="A30" s="211" t="s">
        <v>1286</v>
      </c>
      <c r="B30" s="211"/>
      <c r="C30" s="211"/>
      <c r="D30" s="211"/>
      <c r="E30" s="211"/>
      <c r="F30" s="211"/>
      <c r="G30" s="211"/>
      <c r="H30" s="211"/>
      <c r="I30" s="211"/>
      <c r="J30" s="211"/>
      <c r="K30" s="211"/>
      <c r="L30" s="211"/>
      <c r="M30" s="211"/>
      <c r="N30" s="211"/>
      <c r="O30" s="211"/>
      <c r="P30" s="211"/>
      <c r="Q30" s="211" t="s">
        <v>1287</v>
      </c>
      <c r="R30" s="211"/>
      <c r="S30" s="211"/>
      <c r="T30" s="211"/>
      <c r="U30" s="211"/>
      <c r="V30" s="211"/>
      <c r="W30" s="211"/>
      <c r="X30" s="211"/>
      <c r="Y30" s="211"/>
      <c r="Z30" s="211"/>
      <c r="AA30" s="211"/>
      <c r="AB30" s="211"/>
      <c r="AC30" s="211"/>
      <c r="AD30" s="211"/>
      <c r="AE30" s="211"/>
      <c r="AF30" s="211"/>
    </row>
    <row r="31" spans="1:32" ht="18" customHeight="1" x14ac:dyDescent="0.25">
      <c r="A31" s="211"/>
      <c r="B31" s="211"/>
      <c r="C31" s="211"/>
      <c r="D31" s="211"/>
      <c r="E31" s="211"/>
      <c r="F31" s="211"/>
      <c r="G31" s="211"/>
      <c r="H31" s="211"/>
      <c r="I31" s="211"/>
      <c r="J31" s="211"/>
      <c r="K31" s="211"/>
      <c r="L31" s="211"/>
      <c r="M31" s="211"/>
      <c r="N31" s="211"/>
      <c r="O31" s="211"/>
      <c r="P31" s="211"/>
      <c r="Q31" s="211"/>
      <c r="R31" s="211"/>
      <c r="S31" s="211"/>
      <c r="T31" s="211"/>
      <c r="U31" s="211"/>
      <c r="V31" s="211"/>
      <c r="W31" s="211"/>
      <c r="X31" s="211"/>
      <c r="Y31" s="211"/>
      <c r="Z31" s="211"/>
      <c r="AA31" s="211"/>
      <c r="AB31" s="211"/>
      <c r="AC31" s="211"/>
      <c r="AD31" s="211"/>
      <c r="AE31" s="211"/>
      <c r="AF31" s="211"/>
    </row>
    <row r="32" spans="1:32" ht="18" customHeight="1" x14ac:dyDescent="0.25">
      <c r="A32" s="211"/>
      <c r="B32" s="211"/>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211"/>
    </row>
    <row r="33" spans="1:32" ht="18" customHeight="1" x14ac:dyDescent="0.25">
      <c r="A33" s="211"/>
      <c r="B33" s="211"/>
      <c r="C33" s="211"/>
      <c r="D33" s="211"/>
      <c r="E33" s="211"/>
      <c r="F33" s="211"/>
      <c r="G33" s="211"/>
      <c r="H33" s="211"/>
      <c r="I33" s="211"/>
      <c r="J33" s="211"/>
      <c r="K33" s="211"/>
      <c r="L33" s="211"/>
      <c r="M33" s="211"/>
      <c r="N33" s="211"/>
      <c r="O33" s="211"/>
      <c r="P33" s="211"/>
      <c r="Q33" s="211"/>
      <c r="R33" s="211"/>
      <c r="S33" s="211"/>
      <c r="T33" s="211"/>
      <c r="U33" s="211"/>
      <c r="V33" s="211"/>
      <c r="W33" s="211"/>
      <c r="X33" s="211"/>
      <c r="Y33" s="211"/>
      <c r="Z33" s="211"/>
      <c r="AA33" s="211"/>
      <c r="AB33" s="211"/>
      <c r="AC33" s="211"/>
      <c r="AD33" s="211"/>
      <c r="AE33" s="211"/>
      <c r="AF33" s="211"/>
    </row>
    <row r="34" spans="1:32" ht="18" customHeight="1" x14ac:dyDescent="0.25">
      <c r="A34" s="237"/>
      <c r="B34" s="237"/>
      <c r="C34" s="237"/>
      <c r="D34" s="237"/>
      <c r="E34" s="237"/>
      <c r="F34" s="237"/>
      <c r="G34" s="237"/>
      <c r="H34" s="237"/>
      <c r="I34" s="237"/>
      <c r="J34" s="237"/>
      <c r="K34" s="237"/>
      <c r="L34" s="237"/>
      <c r="M34" s="237"/>
      <c r="N34" s="237"/>
      <c r="O34" s="237"/>
      <c r="P34" s="237"/>
      <c r="Q34" s="237"/>
      <c r="R34" s="237"/>
      <c r="S34" s="237"/>
      <c r="T34" s="237"/>
      <c r="U34" s="237"/>
      <c r="V34" s="237"/>
      <c r="W34" s="237"/>
      <c r="X34" s="237"/>
      <c r="Y34" s="237"/>
      <c r="Z34" s="237"/>
      <c r="AA34" s="237"/>
      <c r="AB34" s="237"/>
      <c r="AC34" s="237"/>
      <c r="AD34" s="237"/>
      <c r="AE34" s="237"/>
      <c r="AF34" s="237"/>
    </row>
    <row r="35" spans="1:32" s="67" customFormat="1" ht="18" customHeight="1" x14ac:dyDescent="0.25">
      <c r="A35" s="215" t="s">
        <v>1224</v>
      </c>
      <c r="B35" s="215"/>
      <c r="C35" s="215"/>
      <c r="D35" s="215" t="str" cm="1">
        <f t="array" ref="D35">INDEX(studentdata[Name],AG1)</f>
        <v>Omar Zaman</v>
      </c>
      <c r="E35" s="215"/>
      <c r="F35" s="215"/>
      <c r="G35" s="215"/>
      <c r="H35" s="215"/>
      <c r="I35" s="215"/>
      <c r="J35" s="215"/>
      <c r="K35" s="215"/>
      <c r="L35" s="215"/>
      <c r="M35" s="215"/>
      <c r="N35" s="215"/>
      <c r="O35" s="215"/>
      <c r="P35" s="215"/>
      <c r="Q35" s="215"/>
      <c r="R35" s="215"/>
      <c r="S35" s="215"/>
      <c r="T35" s="239" t="s">
        <v>1288</v>
      </c>
      <c r="U35" s="239"/>
      <c r="V35" s="215" cm="1">
        <f t="array" ref="V35">INDEX(studentdata[SN],AG1)</f>
        <v>84</v>
      </c>
      <c r="W35" s="215"/>
      <c r="X35" s="239" t="s">
        <v>1226</v>
      </c>
      <c r="Y35" s="240"/>
      <c r="Z35" s="240" cm="1">
        <f t="array" ref="Z35">INDEX(studentdata[Level],AG1)</f>
        <v>4</v>
      </c>
      <c r="AA35" s="241"/>
      <c r="AB35" s="173" t="str" cm="1">
        <f t="array" ref="AB35">INDEX(studentdata[Gender],AG1)</f>
        <v>M</v>
      </c>
      <c r="AC35" s="238" t="s">
        <v>1227</v>
      </c>
      <c r="AD35" s="239"/>
      <c r="AE35" s="215" cm="1">
        <f t="array" ref="AE35">INDEX(studentdata[RG],AG1)</f>
        <v>50</v>
      </c>
      <c r="AF35" s="215"/>
    </row>
    <row r="36" spans="1:32" ht="18" customHeight="1" x14ac:dyDescent="0.25">
      <c r="A36" s="215" t="s">
        <v>1289</v>
      </c>
      <c r="B36" s="215"/>
      <c r="C36" s="215"/>
      <c r="D36" s="215"/>
      <c r="E36" s="215"/>
      <c r="F36" s="215" t="str" cm="1">
        <f t="array" ref="F36">INDEX(studentdata[Father Name],AG1)</f>
        <v>Opu Zaman</v>
      </c>
      <c r="G36" s="215"/>
      <c r="H36" s="215"/>
      <c r="I36" s="215"/>
      <c r="J36" s="215"/>
      <c r="K36" s="215"/>
      <c r="L36" s="215"/>
      <c r="M36" s="215"/>
      <c r="N36" s="215"/>
      <c r="O36" s="215"/>
      <c r="P36" s="215"/>
      <c r="Q36" s="215" t="s">
        <v>1290</v>
      </c>
      <c r="R36" s="215"/>
      <c r="S36" s="215"/>
      <c r="T36" s="215"/>
      <c r="U36" s="215"/>
      <c r="V36" s="215" t="str" cm="1">
        <f t="array" ref="V36">INDEX(studentdata[Mother Name],AG1)</f>
        <v>Khaleda Akhter</v>
      </c>
      <c r="W36" s="215"/>
      <c r="X36" s="215"/>
      <c r="Y36" s="215"/>
      <c r="Z36" s="216"/>
      <c r="AA36" s="216"/>
      <c r="AB36" s="216"/>
      <c r="AC36" s="215"/>
      <c r="AD36" s="215"/>
      <c r="AE36" s="215"/>
      <c r="AF36" s="215"/>
    </row>
    <row r="37" spans="1:32" ht="18" customHeight="1" x14ac:dyDescent="0.25">
      <c r="A37" s="215" t="s">
        <v>1291</v>
      </c>
      <c r="B37" s="215"/>
      <c r="C37" s="215"/>
      <c r="D37" s="215"/>
      <c r="E37" s="215"/>
      <c r="F37" s="215" cm="1">
        <f t="array" ref="F37">INDEX(studentdata[Father Phone],AG1)</f>
        <v>13138985118</v>
      </c>
      <c r="G37" s="215"/>
      <c r="H37" s="215"/>
      <c r="I37" s="215"/>
      <c r="J37" s="215"/>
      <c r="K37" s="215"/>
      <c r="L37" s="215"/>
      <c r="M37" s="215"/>
      <c r="N37" s="215"/>
      <c r="O37" s="215"/>
      <c r="P37" s="215"/>
      <c r="Q37" s="215" t="s">
        <v>1292</v>
      </c>
      <c r="R37" s="215"/>
      <c r="S37" s="215"/>
      <c r="T37" s="215"/>
      <c r="U37" s="215"/>
      <c r="V37" s="215" cm="1">
        <f t="array" ref="V37">INDEX(studentdata[Mother Phone],AG1)</f>
        <v>15868225961</v>
      </c>
      <c r="W37" s="215"/>
      <c r="X37" s="215"/>
      <c r="Y37" s="215"/>
      <c r="Z37" s="216"/>
      <c r="AA37" s="216"/>
      <c r="AB37" s="216"/>
      <c r="AC37" s="215"/>
      <c r="AD37" s="215"/>
      <c r="AE37" s="215"/>
      <c r="AF37" s="215"/>
    </row>
    <row r="38" spans="1:32" ht="18" customHeight="1" x14ac:dyDescent="0.25">
      <c r="A38" s="72"/>
      <c r="B38" s="72"/>
      <c r="C38" s="72"/>
      <c r="D38" s="72"/>
      <c r="E38" s="72"/>
      <c r="F38" s="72"/>
      <c r="G38" s="72"/>
      <c r="H38" s="72"/>
      <c r="I38" s="72"/>
      <c r="J38" s="72"/>
      <c r="K38" s="72"/>
      <c r="L38" s="72"/>
      <c r="M38" s="72"/>
      <c r="N38" s="72"/>
      <c r="O38" s="72"/>
      <c r="P38" s="72"/>
      <c r="Q38" s="72"/>
      <c r="R38" s="72"/>
      <c r="S38" s="72"/>
      <c r="T38" s="72"/>
      <c r="U38" s="72"/>
      <c r="V38" s="72"/>
      <c r="W38" s="72"/>
      <c r="X38" s="72"/>
      <c r="Y38" s="72"/>
      <c r="Z38" s="72"/>
      <c r="AA38" s="72"/>
      <c r="AB38" s="72"/>
      <c r="AC38" s="72"/>
      <c r="AD38" s="72"/>
      <c r="AE38" s="72"/>
      <c r="AF38" s="72"/>
    </row>
    <row r="39" spans="1:32" ht="18" customHeight="1" x14ac:dyDescent="0.25">
      <c r="A39" s="74"/>
      <c r="B39" s="67" t="s">
        <v>1293</v>
      </c>
      <c r="C39" s="67"/>
      <c r="D39" s="67"/>
      <c r="E39" s="67"/>
      <c r="F39" s="67"/>
      <c r="G39" s="67"/>
      <c r="H39" s="67"/>
      <c r="I39" s="67"/>
      <c r="J39" s="67"/>
      <c r="K39" s="67"/>
      <c r="L39" s="67"/>
      <c r="M39" s="67"/>
      <c r="N39" s="67"/>
      <c r="O39" s="67"/>
      <c r="P39" s="74"/>
      <c r="Q39" s="67" t="s">
        <v>1294</v>
      </c>
      <c r="R39" s="67"/>
      <c r="S39" s="67"/>
      <c r="T39" s="67"/>
      <c r="U39" s="67"/>
      <c r="V39" s="67"/>
      <c r="W39" s="67"/>
      <c r="X39" s="67"/>
      <c r="Y39" s="67"/>
      <c r="Z39" s="67"/>
      <c r="AA39" s="67"/>
      <c r="AB39" s="67"/>
    </row>
    <row r="40" spans="1:32" ht="18" customHeight="1" x14ac:dyDescent="0.25">
      <c r="E40" s="67"/>
      <c r="F40" s="67"/>
      <c r="G40" s="67"/>
      <c r="H40" s="67"/>
      <c r="I40" s="67"/>
      <c r="J40" s="67"/>
      <c r="K40" s="67"/>
      <c r="L40" s="67"/>
      <c r="M40" s="67"/>
      <c r="N40" s="67"/>
      <c r="O40" s="67"/>
      <c r="P40" s="67"/>
      <c r="Q40" s="67"/>
      <c r="R40" s="67"/>
      <c r="S40" s="67"/>
      <c r="T40" s="67"/>
      <c r="U40" s="67"/>
      <c r="V40" s="67"/>
      <c r="W40" s="67"/>
      <c r="X40" s="67"/>
      <c r="Y40" s="67"/>
      <c r="Z40" s="67"/>
      <c r="AA40" s="67"/>
      <c r="AB40" s="67"/>
    </row>
    <row r="41" spans="1:32" ht="18" customHeight="1" x14ac:dyDescent="0.25">
      <c r="A41" s="74"/>
      <c r="B41" s="67" t="s">
        <v>1295</v>
      </c>
      <c r="E41" s="67"/>
      <c r="F41" s="67"/>
      <c r="G41" s="67"/>
      <c r="H41" s="67"/>
      <c r="I41" s="67"/>
      <c r="J41" s="67"/>
      <c r="K41" s="67"/>
      <c r="L41" s="67"/>
      <c r="M41" s="67"/>
      <c r="N41" s="67"/>
      <c r="O41" s="67"/>
      <c r="P41" s="74"/>
      <c r="Q41" s="67" t="s">
        <v>1296</v>
      </c>
      <c r="R41" s="67"/>
      <c r="S41" s="67"/>
      <c r="T41" s="67"/>
      <c r="U41" s="67"/>
      <c r="V41" s="67"/>
      <c r="W41" s="67"/>
      <c r="X41" s="67"/>
      <c r="Y41" s="67"/>
      <c r="Z41" s="67"/>
      <c r="AA41" s="67"/>
      <c r="AB41" s="67"/>
    </row>
    <row r="42" spans="1:32" ht="18" customHeight="1" x14ac:dyDescent="0.25">
      <c r="A42" s="67"/>
      <c r="B42" s="67"/>
      <c r="C42" s="67"/>
      <c r="D42" s="67"/>
      <c r="N42" s="67"/>
      <c r="O42" s="67"/>
      <c r="P42" s="67"/>
      <c r="Q42" s="67"/>
      <c r="R42" s="67"/>
      <c r="S42" s="67"/>
      <c r="T42" s="67"/>
      <c r="U42" s="67"/>
      <c r="V42" s="67"/>
      <c r="W42" s="67"/>
      <c r="X42" s="67"/>
      <c r="Y42" s="67"/>
      <c r="Z42" s="67"/>
      <c r="AA42" s="67"/>
      <c r="AB42" s="67"/>
    </row>
  </sheetData>
  <mergeCells count="65">
    <mergeCell ref="A36:E36"/>
    <mergeCell ref="F36:P36"/>
    <mergeCell ref="Q36:U36"/>
    <mergeCell ref="V36:AF36"/>
    <mergeCell ref="A37:E37"/>
    <mergeCell ref="F37:P37"/>
    <mergeCell ref="Q37:U37"/>
    <mergeCell ref="V37:AF37"/>
    <mergeCell ref="A30:P34"/>
    <mergeCell ref="Q30:AF34"/>
    <mergeCell ref="A35:C35"/>
    <mergeCell ref="D35:S35"/>
    <mergeCell ref="T35:U35"/>
    <mergeCell ref="V35:W35"/>
    <mergeCell ref="X35:Y35"/>
    <mergeCell ref="Z35:AA35"/>
    <mergeCell ref="AC35:AD35"/>
    <mergeCell ref="AE35:AF35"/>
    <mergeCell ref="A24:K24"/>
    <mergeCell ref="L24:Q24"/>
    <mergeCell ref="R24:U24"/>
    <mergeCell ref="V24:AF24"/>
    <mergeCell ref="A27:B27"/>
    <mergeCell ref="A29:AF29"/>
    <mergeCell ref="A22:K22"/>
    <mergeCell ref="L22:Q22"/>
    <mergeCell ref="R22:U22"/>
    <mergeCell ref="V22:AF22"/>
    <mergeCell ref="A23:K23"/>
    <mergeCell ref="L23:Q23"/>
    <mergeCell ref="R23:U23"/>
    <mergeCell ref="V23:AF23"/>
    <mergeCell ref="A16:AF19"/>
    <mergeCell ref="A20:K20"/>
    <mergeCell ref="L20:Q20"/>
    <mergeCell ref="R20:U20"/>
    <mergeCell ref="V20:AF20"/>
    <mergeCell ref="A21:K21"/>
    <mergeCell ref="L21:Q21"/>
    <mergeCell ref="R21:U21"/>
    <mergeCell ref="V21:AF21"/>
    <mergeCell ref="A12:K12"/>
    <mergeCell ref="L12:Q12"/>
    <mergeCell ref="R12:U12"/>
    <mergeCell ref="V12:AF12"/>
    <mergeCell ref="A13:K13"/>
    <mergeCell ref="L13:Q13"/>
    <mergeCell ref="R13:U13"/>
    <mergeCell ref="V13:AF13"/>
    <mergeCell ref="A10:K10"/>
    <mergeCell ref="L10:Q10"/>
    <mergeCell ref="R10:U10"/>
    <mergeCell ref="V10:AF10"/>
    <mergeCell ref="A11:K11"/>
    <mergeCell ref="L11:Q11"/>
    <mergeCell ref="R11:U11"/>
    <mergeCell ref="V11:AF11"/>
    <mergeCell ref="A1:AF1"/>
    <mergeCell ref="A2:K4"/>
    <mergeCell ref="W2:AF4"/>
    <mergeCell ref="A5:AF8"/>
    <mergeCell ref="A9:K9"/>
    <mergeCell ref="L9:Q9"/>
    <mergeCell ref="R9:U9"/>
    <mergeCell ref="V9:AF9"/>
  </mergeCells>
  <hyperlinks>
    <hyperlink ref="AH2" location="reportcards!A1" display="reportcards" xr:uid="{067C68C8-59F8-4FB9-8C76-AE12B0026BAF}"/>
    <hyperlink ref="AH3" location="Settings!A1" display="settings" xr:uid="{41AAAF32-EAB1-4881-8A60-005AA8C9558F}"/>
  </hyperlinks>
  <printOptions horizontalCentered="1"/>
  <pageMargins left="0.25" right="0.25" top="0.25" bottom="0.25" header="0" footer="0"/>
  <pageSetup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3">
              <controlPr defaultSize="0" print="0" autoFill="0" autoPict="0" macro="[0]!GenerateAllReportCardsSheetFromSettings">
                <anchor moveWithCells="1" sizeWithCells="1">
                  <from>
                    <xdr:col>33</xdr:col>
                    <xdr:colOff>19050</xdr:colOff>
                    <xdr:row>0</xdr:row>
                    <xdr:rowOff>0</xdr:rowOff>
                  </from>
                  <to>
                    <xdr:col>33</xdr:col>
                    <xdr:colOff>1609725</xdr:colOff>
                    <xdr:row>1</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2AE9C-925C-410A-B5D1-B1B5A8B85065}">
  <sheetPr codeName="Sheet7">
    <tabColor rgb="FFFFC000"/>
  </sheetPr>
  <dimension ref="A1:AH42"/>
  <sheetViews>
    <sheetView view="pageLayout" topLeftCell="A4" zoomScaleNormal="100" workbookViewId="0">
      <selection activeCell="A5" sqref="A5:AF8"/>
    </sheetView>
  </sheetViews>
  <sheetFormatPr defaultColWidth="3.140625" defaultRowHeight="18" customHeight="1" x14ac:dyDescent="0.25"/>
  <cols>
    <col min="1" max="32" width="3.140625" style="38"/>
    <col min="33" max="33" width="4.7109375" style="38" bestFit="1" customWidth="1"/>
    <col min="34" max="34" width="12.7109375" style="38" customWidth="1"/>
    <col min="35" max="16384" width="3.140625" style="38"/>
  </cols>
  <sheetData>
    <row r="1" spans="1:34" s="66" customFormat="1" ht="36" customHeight="1" x14ac:dyDescent="0.25">
      <c r="A1" s="227" t="s">
        <v>1240</v>
      </c>
      <c r="B1" s="227"/>
      <c r="C1" s="227"/>
      <c r="D1" s="227"/>
      <c r="E1" s="227"/>
      <c r="F1" s="227"/>
      <c r="G1" s="227"/>
      <c r="H1" s="227"/>
      <c r="I1" s="227"/>
      <c r="J1" s="227"/>
      <c r="K1" s="227"/>
      <c r="L1" s="227"/>
      <c r="M1" s="227"/>
      <c r="N1" s="227"/>
      <c r="O1" s="227"/>
      <c r="P1" s="227"/>
      <c r="Q1" s="227"/>
      <c r="R1" s="227"/>
      <c r="S1" s="227"/>
      <c r="T1" s="227"/>
      <c r="U1" s="227"/>
      <c r="V1" s="227"/>
      <c r="W1" s="227"/>
      <c r="X1" s="227"/>
      <c r="Y1" s="227"/>
      <c r="Z1" s="227"/>
      <c r="AA1" s="227"/>
      <c r="AB1" s="227"/>
      <c r="AC1" s="227"/>
      <c r="AD1" s="227"/>
      <c r="AE1" s="227"/>
      <c r="AF1" s="227"/>
      <c r="AG1" s="69">
        <v>84</v>
      </c>
      <c r="AH1" s="73"/>
    </row>
    <row r="2" spans="1:34" ht="18" customHeight="1" x14ac:dyDescent="0.25">
      <c r="A2" s="211" t="s">
        <v>1241</v>
      </c>
      <c r="B2" s="211"/>
      <c r="C2" s="211"/>
      <c r="D2" s="211"/>
      <c r="E2" s="211"/>
      <c r="F2" s="211"/>
      <c r="G2" s="211"/>
      <c r="H2" s="211"/>
      <c r="I2" s="211"/>
      <c r="J2" s="211"/>
      <c r="K2" s="211"/>
      <c r="L2" s="70"/>
      <c r="W2" s="228" t="s">
        <v>1346</v>
      </c>
      <c r="X2" s="228"/>
      <c r="Y2" s="228"/>
      <c r="Z2" s="228"/>
      <c r="AA2" s="228"/>
      <c r="AB2" s="228"/>
      <c r="AC2" s="228"/>
      <c r="AD2" s="228"/>
      <c r="AE2" s="228"/>
      <c r="AF2" s="228"/>
      <c r="AG2" s="30"/>
      <c r="AH2" s="51" t="s">
        <v>1228</v>
      </c>
    </row>
    <row r="3" spans="1:34" ht="18" customHeight="1" x14ac:dyDescent="0.25">
      <c r="A3" s="211"/>
      <c r="B3" s="211"/>
      <c r="C3" s="211"/>
      <c r="D3" s="211"/>
      <c r="E3" s="211"/>
      <c r="F3" s="211"/>
      <c r="G3" s="211"/>
      <c r="H3" s="211"/>
      <c r="I3" s="211"/>
      <c r="J3" s="211"/>
      <c r="K3" s="211"/>
      <c r="L3" s="70"/>
      <c r="W3" s="228"/>
      <c r="X3" s="228"/>
      <c r="Y3" s="228"/>
      <c r="Z3" s="228"/>
      <c r="AA3" s="228"/>
      <c r="AB3" s="228"/>
      <c r="AC3" s="228"/>
      <c r="AD3" s="228"/>
      <c r="AE3" s="228"/>
      <c r="AF3" s="228"/>
      <c r="AG3" s="55"/>
      <c r="AH3" s="51" t="s">
        <v>1231</v>
      </c>
    </row>
    <row r="4" spans="1:34" ht="18" customHeight="1" x14ac:dyDescent="0.25">
      <c r="A4" s="211"/>
      <c r="B4" s="211"/>
      <c r="C4" s="211"/>
      <c r="D4" s="211"/>
      <c r="E4" s="211"/>
      <c r="F4" s="211"/>
      <c r="G4" s="211"/>
      <c r="H4" s="211"/>
      <c r="I4" s="211"/>
      <c r="J4" s="211"/>
      <c r="K4" s="211"/>
      <c r="L4" s="67"/>
      <c r="M4" s="67"/>
      <c r="N4" s="67"/>
      <c r="O4" s="67"/>
      <c r="P4" s="67"/>
      <c r="Q4" s="67"/>
      <c r="R4" s="67"/>
      <c r="S4" s="67"/>
      <c r="T4" s="67"/>
      <c r="U4" s="67"/>
      <c r="V4" s="67"/>
      <c r="W4" s="228"/>
      <c r="X4" s="228"/>
      <c r="Y4" s="228"/>
      <c r="Z4" s="228"/>
      <c r="AA4" s="228"/>
      <c r="AB4" s="228"/>
      <c r="AC4" s="228"/>
      <c r="AD4" s="228"/>
      <c r="AE4" s="228"/>
      <c r="AF4" s="228"/>
    </row>
    <row r="5" spans="1:34" ht="18" customHeight="1" x14ac:dyDescent="0.25">
      <c r="A5" s="234" t="s">
        <v>1242</v>
      </c>
      <c r="B5" s="234"/>
      <c r="C5" s="234"/>
      <c r="D5" s="234"/>
      <c r="E5" s="234"/>
      <c r="F5" s="234"/>
      <c r="G5" s="234"/>
      <c r="H5" s="234"/>
      <c r="I5" s="234"/>
      <c r="J5" s="234"/>
      <c r="K5" s="234"/>
      <c r="L5" s="234"/>
      <c r="M5" s="234"/>
      <c r="N5" s="234"/>
      <c r="O5" s="234"/>
      <c r="P5" s="234"/>
      <c r="Q5" s="234"/>
      <c r="R5" s="234"/>
      <c r="S5" s="234"/>
      <c r="T5" s="234"/>
      <c r="U5" s="234"/>
      <c r="V5" s="234"/>
      <c r="W5" s="234"/>
      <c r="X5" s="234"/>
      <c r="Y5" s="234"/>
      <c r="Z5" s="234"/>
      <c r="AA5" s="234"/>
      <c r="AB5" s="234"/>
      <c r="AC5" s="234"/>
      <c r="AD5" s="234"/>
      <c r="AE5" s="234"/>
      <c r="AF5" s="234"/>
    </row>
    <row r="6" spans="1:34" ht="18" customHeight="1" x14ac:dyDescent="0.25">
      <c r="A6" s="229"/>
      <c r="B6" s="229"/>
      <c r="C6" s="229"/>
      <c r="D6" s="229"/>
      <c r="E6" s="229"/>
      <c r="F6" s="229"/>
      <c r="G6" s="229"/>
      <c r="H6" s="229"/>
      <c r="I6" s="229"/>
      <c r="J6" s="229"/>
      <c r="K6" s="229"/>
      <c r="L6" s="229"/>
      <c r="M6" s="229"/>
      <c r="N6" s="229"/>
      <c r="O6" s="229"/>
      <c r="P6" s="229"/>
      <c r="Q6" s="229"/>
      <c r="R6" s="229"/>
      <c r="S6" s="229"/>
      <c r="T6" s="229"/>
      <c r="U6" s="229"/>
      <c r="V6" s="229"/>
      <c r="W6" s="229"/>
      <c r="X6" s="229"/>
      <c r="Y6" s="229"/>
      <c r="Z6" s="229"/>
      <c r="AA6" s="229"/>
      <c r="AB6" s="229"/>
      <c r="AC6" s="229"/>
      <c r="AD6" s="229"/>
      <c r="AE6" s="229"/>
      <c r="AF6" s="229"/>
    </row>
    <row r="7" spans="1:34" ht="18" customHeight="1" x14ac:dyDescent="0.25">
      <c r="A7" s="229"/>
      <c r="B7" s="229"/>
      <c r="C7" s="229"/>
      <c r="D7" s="229"/>
      <c r="E7" s="229"/>
      <c r="F7" s="229"/>
      <c r="G7" s="229"/>
      <c r="H7" s="229"/>
      <c r="I7" s="229"/>
      <c r="J7" s="229"/>
      <c r="K7" s="229"/>
      <c r="L7" s="229"/>
      <c r="M7" s="229"/>
      <c r="N7" s="229"/>
      <c r="O7" s="229"/>
      <c r="P7" s="229"/>
      <c r="Q7" s="229"/>
      <c r="R7" s="229"/>
      <c r="S7" s="229"/>
      <c r="T7" s="229"/>
      <c r="U7" s="229"/>
      <c r="V7" s="229"/>
      <c r="W7" s="229"/>
      <c r="X7" s="229"/>
      <c r="Y7" s="229"/>
      <c r="Z7" s="229"/>
      <c r="AA7" s="229"/>
      <c r="AB7" s="229"/>
      <c r="AC7" s="229"/>
      <c r="AD7" s="229"/>
      <c r="AE7" s="229"/>
      <c r="AF7" s="229"/>
    </row>
    <row r="8" spans="1:34" ht="18" customHeight="1" x14ac:dyDescent="0.25">
      <c r="A8" s="230"/>
      <c r="B8" s="230"/>
      <c r="C8" s="230"/>
      <c r="D8" s="230"/>
      <c r="E8" s="230"/>
      <c r="F8" s="230"/>
      <c r="G8" s="230"/>
      <c r="H8" s="230"/>
      <c r="I8" s="230"/>
      <c r="J8" s="230"/>
      <c r="K8" s="230"/>
      <c r="L8" s="230"/>
      <c r="M8" s="230"/>
      <c r="N8" s="230"/>
      <c r="O8" s="230"/>
      <c r="P8" s="230"/>
      <c r="Q8" s="230"/>
      <c r="R8" s="230"/>
      <c r="S8" s="230"/>
      <c r="T8" s="230"/>
      <c r="U8" s="230"/>
      <c r="V8" s="230"/>
      <c r="W8" s="230"/>
      <c r="X8" s="230"/>
      <c r="Y8" s="230"/>
      <c r="Z8" s="230"/>
      <c r="AA8" s="230"/>
      <c r="AB8" s="230"/>
      <c r="AC8" s="230"/>
      <c r="AD8" s="230"/>
      <c r="AE8" s="230"/>
      <c r="AF8" s="230"/>
    </row>
    <row r="9" spans="1:34" ht="18" customHeight="1" x14ac:dyDescent="0.25">
      <c r="A9" s="231" t="s">
        <v>1243</v>
      </c>
      <c r="B9" s="232"/>
      <c r="C9" s="232"/>
      <c r="D9" s="232"/>
      <c r="E9" s="232"/>
      <c r="F9" s="232"/>
      <c r="G9" s="232"/>
      <c r="H9" s="232"/>
      <c r="I9" s="232"/>
      <c r="J9" s="232"/>
      <c r="K9" s="233"/>
      <c r="L9" s="231" t="s">
        <v>1244</v>
      </c>
      <c r="M9" s="232"/>
      <c r="N9" s="232"/>
      <c r="O9" s="232"/>
      <c r="P9" s="232"/>
      <c r="Q9" s="233"/>
      <c r="R9" s="215" t="s">
        <v>1245</v>
      </c>
      <c r="S9" s="215"/>
      <c r="T9" s="215"/>
      <c r="U9" s="215"/>
      <c r="V9" s="215" t="s">
        <v>1246</v>
      </c>
      <c r="W9" s="215"/>
      <c r="X9" s="215"/>
      <c r="Y9" s="215"/>
      <c r="Z9" s="215"/>
      <c r="AA9" s="215"/>
      <c r="AB9" s="215"/>
      <c r="AC9" s="215"/>
      <c r="AD9" s="215"/>
      <c r="AE9" s="215"/>
      <c r="AF9" s="215"/>
    </row>
    <row r="10" spans="1:34" ht="18" customHeight="1" x14ac:dyDescent="0.25">
      <c r="A10" s="217" t="s">
        <v>1247</v>
      </c>
      <c r="B10" s="218"/>
      <c r="C10" s="218"/>
      <c r="D10" s="218"/>
      <c r="E10" s="218"/>
      <c r="F10" s="218"/>
      <c r="G10" s="218"/>
      <c r="H10" s="218"/>
      <c r="I10" s="218"/>
      <c r="J10" s="218"/>
      <c r="K10" s="219"/>
      <c r="L10" s="217" t="s">
        <v>1248</v>
      </c>
      <c r="M10" s="218"/>
      <c r="N10" s="218"/>
      <c r="O10" s="218"/>
      <c r="P10" s="218"/>
      <c r="Q10" s="219"/>
      <c r="R10" s="235" t="s">
        <v>1249</v>
      </c>
      <c r="S10" s="235"/>
      <c r="T10" s="235"/>
      <c r="U10" s="235"/>
      <c r="V10" s="235" t="s">
        <v>1250</v>
      </c>
      <c r="W10" s="235"/>
      <c r="X10" s="235"/>
      <c r="Y10" s="235"/>
      <c r="Z10" s="235"/>
      <c r="AA10" s="235"/>
      <c r="AB10" s="235"/>
      <c r="AC10" s="235"/>
      <c r="AD10" s="235"/>
      <c r="AE10" s="235"/>
      <c r="AF10" s="235"/>
    </row>
    <row r="11" spans="1:34" ht="18" customHeight="1" x14ac:dyDescent="0.25">
      <c r="A11" s="217" t="s">
        <v>1251</v>
      </c>
      <c r="B11" s="218"/>
      <c r="C11" s="218"/>
      <c r="D11" s="218"/>
      <c r="E11" s="218"/>
      <c r="F11" s="218"/>
      <c r="G11" s="218"/>
      <c r="H11" s="218"/>
      <c r="I11" s="218"/>
      <c r="J11" s="218"/>
      <c r="K11" s="219"/>
      <c r="L11" s="220">
        <v>45893</v>
      </c>
      <c r="M11" s="221"/>
      <c r="N11" s="221"/>
      <c r="O11" s="221"/>
      <c r="P11" s="221"/>
      <c r="Q11" s="222"/>
      <c r="R11" s="235" t="s">
        <v>1252</v>
      </c>
      <c r="S11" s="235"/>
      <c r="T11" s="235"/>
      <c r="U11" s="235"/>
      <c r="V11" s="235" t="s">
        <v>1253</v>
      </c>
      <c r="W11" s="235"/>
      <c r="X11" s="235"/>
      <c r="Y11" s="235"/>
      <c r="Z11" s="235"/>
      <c r="AA11" s="235"/>
      <c r="AB11" s="235"/>
      <c r="AC11" s="235"/>
      <c r="AD11" s="235"/>
      <c r="AE11" s="235"/>
      <c r="AF11" s="235"/>
    </row>
    <row r="12" spans="1:34" ht="18" customHeight="1" x14ac:dyDescent="0.25">
      <c r="A12" s="217" t="s">
        <v>1254</v>
      </c>
      <c r="B12" s="218"/>
      <c r="C12" s="218"/>
      <c r="D12" s="218"/>
      <c r="E12" s="218"/>
      <c r="F12" s="218"/>
      <c r="G12" s="218"/>
      <c r="H12" s="218"/>
      <c r="I12" s="218"/>
      <c r="J12" s="218"/>
      <c r="K12" s="219"/>
      <c r="L12" s="220">
        <v>45906</v>
      </c>
      <c r="M12" s="221"/>
      <c r="N12" s="221"/>
      <c r="O12" s="221"/>
      <c r="P12" s="221"/>
      <c r="Q12" s="222"/>
      <c r="R12" s="235" t="s">
        <v>1255</v>
      </c>
      <c r="S12" s="235"/>
      <c r="T12" s="235"/>
      <c r="U12" s="235"/>
      <c r="V12" s="235" t="s">
        <v>1256</v>
      </c>
      <c r="W12" s="235"/>
      <c r="X12" s="235"/>
      <c r="Y12" s="235"/>
      <c r="Z12" s="235"/>
      <c r="AA12" s="235"/>
      <c r="AB12" s="235"/>
      <c r="AC12" s="235"/>
      <c r="AD12" s="235"/>
      <c r="AE12" s="235"/>
      <c r="AF12" s="235"/>
    </row>
    <row r="13" spans="1:34" ht="18" customHeight="1" x14ac:dyDescent="0.25">
      <c r="A13" s="217" t="s">
        <v>1257</v>
      </c>
      <c r="B13" s="218"/>
      <c r="C13" s="218"/>
      <c r="D13" s="218"/>
      <c r="E13" s="218"/>
      <c r="F13" s="218"/>
      <c r="G13" s="218"/>
      <c r="H13" s="218"/>
      <c r="I13" s="218"/>
      <c r="J13" s="218"/>
      <c r="K13" s="219"/>
      <c r="L13" s="220">
        <v>45902</v>
      </c>
      <c r="M13" s="221"/>
      <c r="N13" s="221"/>
      <c r="O13" s="221"/>
      <c r="P13" s="221"/>
      <c r="Q13" s="222"/>
      <c r="R13" s="235" t="s">
        <v>1258</v>
      </c>
      <c r="S13" s="235"/>
      <c r="T13" s="235"/>
      <c r="U13" s="235"/>
      <c r="V13" s="235" t="s">
        <v>1259</v>
      </c>
      <c r="W13" s="235"/>
      <c r="X13" s="235"/>
      <c r="Y13" s="235"/>
      <c r="Z13" s="235"/>
      <c r="AA13" s="235"/>
      <c r="AB13" s="235"/>
      <c r="AC13" s="235"/>
      <c r="AD13" s="235"/>
      <c r="AE13" s="235"/>
      <c r="AF13" s="235"/>
    </row>
    <row r="14" spans="1:34" ht="18" customHeight="1" x14ac:dyDescent="0.25">
      <c r="A14" s="68" t="s">
        <v>1260</v>
      </c>
      <c r="B14" s="68"/>
      <c r="C14" s="68"/>
      <c r="D14" s="68"/>
      <c r="E14" s="68"/>
      <c r="F14" s="68"/>
      <c r="G14" s="68"/>
      <c r="H14" s="68"/>
      <c r="I14" s="68"/>
      <c r="J14" s="68"/>
      <c r="K14" s="68"/>
      <c r="L14" s="68"/>
      <c r="M14" s="68"/>
      <c r="N14" s="71"/>
      <c r="O14" s="68"/>
      <c r="P14" s="68"/>
      <c r="Q14" s="68"/>
      <c r="R14" s="68"/>
      <c r="S14" s="68"/>
      <c r="T14" s="68"/>
      <c r="U14" s="68"/>
      <c r="V14" s="68"/>
      <c r="W14" s="68"/>
      <c r="X14" s="68"/>
      <c r="Y14" s="68"/>
      <c r="Z14" s="68"/>
      <c r="AA14" s="68"/>
      <c r="AB14" s="68"/>
      <c r="AC14" s="68"/>
      <c r="AD14" s="68"/>
      <c r="AE14" s="68"/>
      <c r="AF14" s="68"/>
    </row>
    <row r="15" spans="1:34" ht="18" customHeight="1" x14ac:dyDescent="0.25">
      <c r="A15" s="67"/>
      <c r="B15" s="67"/>
      <c r="C15" s="67"/>
      <c r="D15" s="67"/>
      <c r="E15" s="67"/>
      <c r="F15" s="67"/>
      <c r="G15" s="67"/>
      <c r="H15" s="67"/>
      <c r="I15" s="67"/>
      <c r="J15" s="67"/>
      <c r="K15" s="67"/>
      <c r="L15" s="67"/>
      <c r="M15" s="67"/>
      <c r="N15" s="67"/>
      <c r="O15" s="67"/>
      <c r="P15" s="67"/>
      <c r="Q15" s="67"/>
      <c r="R15" s="67"/>
    </row>
    <row r="16" spans="1:34" ht="18" customHeight="1" x14ac:dyDescent="0.25">
      <c r="A16" s="229" t="s">
        <v>1261</v>
      </c>
      <c r="B16" s="229"/>
      <c r="C16" s="229"/>
      <c r="D16" s="229"/>
      <c r="E16" s="229"/>
      <c r="F16" s="229"/>
      <c r="G16" s="229"/>
      <c r="H16" s="229"/>
      <c r="I16" s="229"/>
      <c r="J16" s="229"/>
      <c r="K16" s="229"/>
      <c r="L16" s="229"/>
      <c r="M16" s="229"/>
      <c r="N16" s="229"/>
      <c r="O16" s="229"/>
      <c r="P16" s="229"/>
      <c r="Q16" s="229"/>
      <c r="R16" s="229"/>
      <c r="S16" s="229"/>
      <c r="T16" s="229"/>
      <c r="U16" s="229"/>
      <c r="V16" s="229"/>
      <c r="W16" s="229"/>
      <c r="X16" s="229"/>
      <c r="Y16" s="229"/>
      <c r="Z16" s="229"/>
      <c r="AA16" s="229"/>
      <c r="AB16" s="229"/>
      <c r="AC16" s="229"/>
      <c r="AD16" s="229"/>
      <c r="AE16" s="229"/>
      <c r="AF16" s="229"/>
    </row>
    <row r="17" spans="1:32" ht="18" customHeight="1" x14ac:dyDescent="0.25">
      <c r="A17" s="229"/>
      <c r="B17" s="229"/>
      <c r="C17" s="229"/>
      <c r="D17" s="229"/>
      <c r="E17" s="229"/>
      <c r="F17" s="229"/>
      <c r="G17" s="229"/>
      <c r="H17" s="229"/>
      <c r="I17" s="229"/>
      <c r="J17" s="229"/>
      <c r="K17" s="229"/>
      <c r="L17" s="229"/>
      <c r="M17" s="229"/>
      <c r="N17" s="229"/>
      <c r="O17" s="229"/>
      <c r="P17" s="229"/>
      <c r="Q17" s="229"/>
      <c r="R17" s="229"/>
      <c r="S17" s="229"/>
      <c r="T17" s="229"/>
      <c r="U17" s="229"/>
      <c r="V17" s="229"/>
      <c r="W17" s="229"/>
      <c r="X17" s="229"/>
      <c r="Y17" s="229"/>
      <c r="Z17" s="229"/>
      <c r="AA17" s="229"/>
      <c r="AB17" s="229"/>
      <c r="AC17" s="229"/>
      <c r="AD17" s="229"/>
      <c r="AE17" s="229"/>
      <c r="AF17" s="229"/>
    </row>
    <row r="18" spans="1:32" ht="18" customHeight="1" x14ac:dyDescent="0.25">
      <c r="A18" s="229"/>
      <c r="B18" s="229"/>
      <c r="C18" s="229"/>
      <c r="D18" s="229"/>
      <c r="E18" s="229"/>
      <c r="F18" s="229"/>
      <c r="G18" s="229"/>
      <c r="H18" s="229"/>
      <c r="I18" s="229"/>
      <c r="J18" s="229"/>
      <c r="K18" s="229"/>
      <c r="L18" s="229"/>
      <c r="M18" s="229"/>
      <c r="N18" s="229"/>
      <c r="O18" s="229"/>
      <c r="P18" s="229"/>
      <c r="Q18" s="229"/>
      <c r="R18" s="229"/>
      <c r="S18" s="229"/>
      <c r="T18" s="229"/>
      <c r="U18" s="229"/>
      <c r="V18" s="229"/>
      <c r="W18" s="229"/>
      <c r="X18" s="229"/>
      <c r="Y18" s="229"/>
      <c r="Z18" s="229"/>
      <c r="AA18" s="229"/>
      <c r="AB18" s="229"/>
      <c r="AC18" s="229"/>
      <c r="AD18" s="229"/>
      <c r="AE18" s="229"/>
      <c r="AF18" s="229"/>
    </row>
    <row r="19" spans="1:32" ht="18" customHeight="1" x14ac:dyDescent="0.25">
      <c r="A19" s="230"/>
      <c r="B19" s="230"/>
      <c r="C19" s="230"/>
      <c r="D19" s="230"/>
      <c r="E19" s="230"/>
      <c r="F19" s="230"/>
      <c r="G19" s="230"/>
      <c r="H19" s="230"/>
      <c r="I19" s="230"/>
      <c r="J19" s="230"/>
      <c r="K19" s="230"/>
      <c r="L19" s="230"/>
      <c r="M19" s="230"/>
      <c r="N19" s="230"/>
      <c r="O19" s="230"/>
      <c r="P19" s="230"/>
      <c r="Q19" s="230"/>
      <c r="R19" s="230"/>
      <c r="S19" s="230"/>
      <c r="T19" s="230"/>
      <c r="U19" s="230"/>
      <c r="V19" s="230"/>
      <c r="W19" s="230"/>
      <c r="X19" s="230"/>
      <c r="Y19" s="230"/>
      <c r="Z19" s="230"/>
      <c r="AA19" s="230"/>
      <c r="AB19" s="230"/>
      <c r="AC19" s="230"/>
      <c r="AD19" s="230"/>
      <c r="AE19" s="230"/>
      <c r="AF19" s="230"/>
    </row>
    <row r="20" spans="1:32" ht="18" customHeight="1" x14ac:dyDescent="0.25">
      <c r="A20" s="231" t="s">
        <v>1262</v>
      </c>
      <c r="B20" s="232"/>
      <c r="C20" s="232"/>
      <c r="D20" s="232"/>
      <c r="E20" s="232"/>
      <c r="F20" s="232"/>
      <c r="G20" s="232"/>
      <c r="H20" s="232"/>
      <c r="I20" s="232"/>
      <c r="J20" s="232"/>
      <c r="K20" s="233"/>
      <c r="L20" s="231" t="s">
        <v>1263</v>
      </c>
      <c r="M20" s="232"/>
      <c r="N20" s="232"/>
      <c r="O20" s="232"/>
      <c r="P20" s="232"/>
      <c r="Q20" s="233"/>
      <c r="R20" s="215" t="s">
        <v>1264</v>
      </c>
      <c r="S20" s="215"/>
      <c r="T20" s="215"/>
      <c r="U20" s="215"/>
      <c r="V20" s="215" t="s">
        <v>1265</v>
      </c>
      <c r="W20" s="215"/>
      <c r="X20" s="215"/>
      <c r="Y20" s="215"/>
      <c r="Z20" s="215"/>
      <c r="AA20" s="215"/>
      <c r="AB20" s="215"/>
      <c r="AC20" s="215"/>
      <c r="AD20" s="215"/>
      <c r="AE20" s="215"/>
      <c r="AF20" s="215"/>
    </row>
    <row r="21" spans="1:32" ht="18" customHeight="1" x14ac:dyDescent="0.25">
      <c r="A21" s="217" t="s">
        <v>1266</v>
      </c>
      <c r="B21" s="218"/>
      <c r="C21" s="218"/>
      <c r="D21" s="218"/>
      <c r="E21" s="218"/>
      <c r="F21" s="218"/>
      <c r="G21" s="218"/>
      <c r="H21" s="218"/>
      <c r="I21" s="218"/>
      <c r="J21" s="218"/>
      <c r="K21" s="219"/>
      <c r="L21" s="217" t="s">
        <v>1267</v>
      </c>
      <c r="M21" s="218"/>
      <c r="N21" s="218"/>
      <c r="O21" s="218"/>
      <c r="P21" s="218"/>
      <c r="Q21" s="219"/>
      <c r="R21" s="235" t="s">
        <v>1268</v>
      </c>
      <c r="S21" s="235"/>
      <c r="T21" s="235"/>
      <c r="U21" s="235"/>
      <c r="V21" s="235" t="s">
        <v>1269</v>
      </c>
      <c r="W21" s="235"/>
      <c r="X21" s="235"/>
      <c r="Y21" s="235"/>
      <c r="Z21" s="235"/>
      <c r="AA21" s="235"/>
      <c r="AB21" s="235"/>
      <c r="AC21" s="235"/>
      <c r="AD21" s="235"/>
      <c r="AE21" s="235"/>
      <c r="AF21" s="235"/>
    </row>
    <row r="22" spans="1:32" ht="18" customHeight="1" x14ac:dyDescent="0.25">
      <c r="A22" s="217" t="s">
        <v>1270</v>
      </c>
      <c r="B22" s="218"/>
      <c r="C22" s="218"/>
      <c r="D22" s="218"/>
      <c r="E22" s="218"/>
      <c r="F22" s="218"/>
      <c r="G22" s="218"/>
      <c r="H22" s="218"/>
      <c r="I22" s="218"/>
      <c r="J22" s="218"/>
      <c r="K22" s="219"/>
      <c r="L22" s="220" t="s">
        <v>1271</v>
      </c>
      <c r="M22" s="221"/>
      <c r="N22" s="221"/>
      <c r="O22" s="221"/>
      <c r="P22" s="221"/>
      <c r="Q22" s="222"/>
      <c r="R22" s="235" t="s">
        <v>1272</v>
      </c>
      <c r="S22" s="235"/>
      <c r="T22" s="235"/>
      <c r="U22" s="235"/>
      <c r="V22" s="235" t="s">
        <v>1273</v>
      </c>
      <c r="W22" s="235"/>
      <c r="X22" s="235"/>
      <c r="Y22" s="235"/>
      <c r="Z22" s="235"/>
      <c r="AA22" s="235"/>
      <c r="AB22" s="235"/>
      <c r="AC22" s="235"/>
      <c r="AD22" s="235"/>
      <c r="AE22" s="235"/>
      <c r="AF22" s="235"/>
    </row>
    <row r="23" spans="1:32" ht="18" customHeight="1" x14ac:dyDescent="0.25">
      <c r="A23" s="217" t="s">
        <v>1274</v>
      </c>
      <c r="B23" s="218"/>
      <c r="C23" s="218"/>
      <c r="D23" s="218"/>
      <c r="E23" s="218"/>
      <c r="F23" s="218"/>
      <c r="G23" s="218"/>
      <c r="H23" s="218"/>
      <c r="I23" s="218"/>
      <c r="J23" s="218"/>
      <c r="K23" s="219"/>
      <c r="L23" s="220" t="s">
        <v>1275</v>
      </c>
      <c r="M23" s="221"/>
      <c r="N23" s="221"/>
      <c r="O23" s="221"/>
      <c r="P23" s="221"/>
      <c r="Q23" s="222"/>
      <c r="R23" s="235" t="s">
        <v>1276</v>
      </c>
      <c r="S23" s="235"/>
      <c r="T23" s="235"/>
      <c r="U23" s="235"/>
      <c r="V23" s="235" t="s">
        <v>1277</v>
      </c>
      <c r="W23" s="235"/>
      <c r="X23" s="235"/>
      <c r="Y23" s="235"/>
      <c r="Z23" s="235"/>
      <c r="AA23" s="235"/>
      <c r="AB23" s="235"/>
      <c r="AC23" s="235"/>
      <c r="AD23" s="235"/>
      <c r="AE23" s="235"/>
      <c r="AF23" s="235"/>
    </row>
    <row r="24" spans="1:32" ht="18" customHeight="1" x14ac:dyDescent="0.25">
      <c r="A24" s="223" t="s">
        <v>1278</v>
      </c>
      <c r="B24" s="224"/>
      <c r="C24" s="224"/>
      <c r="D24" s="224"/>
      <c r="E24" s="224"/>
      <c r="F24" s="224"/>
      <c r="G24" s="224"/>
      <c r="H24" s="224"/>
      <c r="I24" s="224"/>
      <c r="J24" s="224"/>
      <c r="K24" s="225"/>
      <c r="L24" s="220" t="s">
        <v>1279</v>
      </c>
      <c r="M24" s="221"/>
      <c r="N24" s="221"/>
      <c r="O24" s="221"/>
      <c r="P24" s="221"/>
      <c r="Q24" s="222"/>
      <c r="R24" s="235" t="s">
        <v>1280</v>
      </c>
      <c r="S24" s="235"/>
      <c r="T24" s="235"/>
      <c r="U24" s="235"/>
      <c r="V24" s="235" t="s">
        <v>1281</v>
      </c>
      <c r="W24" s="235"/>
      <c r="X24" s="235"/>
      <c r="Y24" s="235"/>
      <c r="Z24" s="235"/>
      <c r="AA24" s="235"/>
      <c r="AB24" s="235"/>
      <c r="AC24" s="235"/>
      <c r="AD24" s="235"/>
      <c r="AE24" s="235"/>
      <c r="AF24" s="235"/>
    </row>
    <row r="25" spans="1:32" ht="18" customHeight="1" x14ac:dyDescent="0.25">
      <c r="A25" s="67" t="s">
        <v>1282</v>
      </c>
      <c r="B25" s="67"/>
      <c r="C25" s="67"/>
      <c r="D25" s="67"/>
      <c r="E25" s="67"/>
      <c r="F25" s="67"/>
      <c r="G25" s="67"/>
      <c r="H25" s="67"/>
      <c r="I25" s="67"/>
      <c r="J25" s="67"/>
      <c r="K25" s="67"/>
      <c r="L25" s="67"/>
      <c r="M25" s="67"/>
      <c r="N25" s="67"/>
      <c r="O25" s="67"/>
      <c r="P25" s="67"/>
      <c r="Q25" s="67"/>
      <c r="R25" s="67"/>
      <c r="S25" s="67"/>
      <c r="T25" s="67"/>
      <c r="U25" s="67"/>
      <c r="V25" s="67"/>
      <c r="W25" s="67"/>
      <c r="X25" s="67"/>
      <c r="Y25" s="67"/>
      <c r="Z25" s="67"/>
      <c r="AA25" s="67"/>
      <c r="AB25" s="67"/>
    </row>
    <row r="26" spans="1:32" ht="18" customHeight="1" x14ac:dyDescent="0.25">
      <c r="A26" s="67"/>
      <c r="B26" s="67"/>
      <c r="C26" s="67"/>
      <c r="D26" s="67"/>
      <c r="E26" s="67"/>
      <c r="F26" s="67"/>
      <c r="G26" s="67"/>
      <c r="H26" s="67"/>
      <c r="I26" s="67"/>
      <c r="J26" s="67"/>
      <c r="K26" s="67"/>
      <c r="L26" s="67"/>
      <c r="M26" s="67"/>
      <c r="N26" s="67"/>
      <c r="O26" s="67"/>
      <c r="P26" s="67"/>
      <c r="Q26" s="67"/>
      <c r="R26" s="67"/>
      <c r="S26" s="67"/>
      <c r="T26" s="67"/>
      <c r="U26" s="67"/>
      <c r="V26" s="67"/>
      <c r="W26" s="67"/>
      <c r="X26" s="67"/>
      <c r="Y26" s="67"/>
      <c r="Z26" s="67"/>
      <c r="AA26" s="67"/>
      <c r="AB26" s="67"/>
    </row>
    <row r="27" spans="1:32" ht="18" customHeight="1" x14ac:dyDescent="0.25">
      <c r="A27" s="236" t="s">
        <v>1283</v>
      </c>
      <c r="B27" s="236"/>
      <c r="C27" s="170" t="s">
        <v>1284</v>
      </c>
      <c r="D27" s="170" t="s">
        <v>1284</v>
      </c>
      <c r="E27" s="170" t="s">
        <v>1284</v>
      </c>
      <c r="F27" s="170" t="s">
        <v>1284</v>
      </c>
      <c r="G27" s="170" t="s">
        <v>1284</v>
      </c>
      <c r="H27" s="170" t="s">
        <v>1284</v>
      </c>
      <c r="I27" s="170" t="s">
        <v>1284</v>
      </c>
      <c r="J27" s="170" t="s">
        <v>1284</v>
      </c>
      <c r="K27" s="170" t="s">
        <v>1284</v>
      </c>
      <c r="L27" s="170" t="s">
        <v>1284</v>
      </c>
      <c r="M27" s="170" t="s">
        <v>1284</v>
      </c>
      <c r="N27" s="170" t="s">
        <v>1284</v>
      </c>
      <c r="O27" s="170" t="s">
        <v>1284</v>
      </c>
      <c r="P27" s="170" t="s">
        <v>1284</v>
      </c>
      <c r="Q27" s="170" t="s">
        <v>1284</v>
      </c>
      <c r="R27" s="170" t="s">
        <v>1284</v>
      </c>
      <c r="S27" s="170" t="s">
        <v>1284</v>
      </c>
      <c r="T27" s="170" t="s">
        <v>1284</v>
      </c>
      <c r="U27" s="170" t="s">
        <v>1284</v>
      </c>
      <c r="V27" s="170" t="s">
        <v>1284</v>
      </c>
      <c r="W27" s="170" t="s">
        <v>1284</v>
      </c>
      <c r="X27" s="170" t="s">
        <v>1284</v>
      </c>
      <c r="Y27" s="170" t="s">
        <v>1284</v>
      </c>
      <c r="Z27" s="170" t="s">
        <v>1284</v>
      </c>
      <c r="AA27" s="170" t="s">
        <v>1284</v>
      </c>
      <c r="AB27" s="170" t="s">
        <v>1284</v>
      </c>
      <c r="AC27" s="170" t="s">
        <v>1284</v>
      </c>
      <c r="AD27" s="170" t="s">
        <v>1284</v>
      </c>
      <c r="AE27" s="170" t="s">
        <v>1284</v>
      </c>
      <c r="AF27" s="170" t="s">
        <v>1284</v>
      </c>
    </row>
    <row r="28" spans="1:32" ht="18" customHeight="1" x14ac:dyDescent="0.25">
      <c r="A28" s="174"/>
      <c r="B28" s="174"/>
      <c r="C28" s="170"/>
      <c r="D28" s="170"/>
      <c r="E28" s="170"/>
      <c r="F28" s="170"/>
      <c r="G28" s="170"/>
      <c r="H28" s="170"/>
      <c r="I28" s="170"/>
      <c r="J28" s="170"/>
      <c r="K28" s="170"/>
      <c r="L28" s="170"/>
      <c r="M28" s="170"/>
      <c r="N28" s="170"/>
      <c r="O28" s="170"/>
      <c r="P28" s="170"/>
      <c r="Q28" s="170"/>
      <c r="R28" s="170"/>
      <c r="S28" s="170"/>
      <c r="T28" s="170"/>
      <c r="U28" s="170"/>
      <c r="V28" s="170"/>
      <c r="W28" s="170"/>
      <c r="X28" s="170"/>
      <c r="Y28" s="170"/>
      <c r="Z28" s="170"/>
      <c r="AA28" s="170"/>
      <c r="AB28" s="170"/>
      <c r="AC28" s="170"/>
      <c r="AD28" s="170"/>
      <c r="AE28" s="170"/>
      <c r="AF28" s="170"/>
    </row>
    <row r="29" spans="1:32" ht="18" customHeight="1" x14ac:dyDescent="0.25">
      <c r="A29" s="226" t="s">
        <v>1285</v>
      </c>
      <c r="B29" s="226"/>
      <c r="C29" s="226"/>
      <c r="D29" s="226"/>
      <c r="E29" s="226"/>
      <c r="F29" s="226"/>
      <c r="G29" s="226"/>
      <c r="H29" s="226"/>
      <c r="I29" s="226"/>
      <c r="J29" s="226"/>
      <c r="K29" s="226"/>
      <c r="L29" s="226"/>
      <c r="M29" s="226"/>
      <c r="N29" s="226"/>
      <c r="O29" s="226"/>
      <c r="P29" s="226"/>
      <c r="Q29" s="226"/>
      <c r="R29" s="226"/>
      <c r="S29" s="226"/>
      <c r="T29" s="226"/>
      <c r="U29" s="226"/>
      <c r="V29" s="226"/>
      <c r="W29" s="226"/>
      <c r="X29" s="226"/>
      <c r="Y29" s="226"/>
      <c r="Z29" s="226"/>
      <c r="AA29" s="226"/>
      <c r="AB29" s="226"/>
      <c r="AC29" s="226"/>
      <c r="AD29" s="226"/>
      <c r="AE29" s="226"/>
      <c r="AF29" s="226"/>
    </row>
    <row r="30" spans="1:32" ht="18" customHeight="1" x14ac:dyDescent="0.25">
      <c r="A30" s="211" t="s">
        <v>1286</v>
      </c>
      <c r="B30" s="211"/>
      <c r="C30" s="211"/>
      <c r="D30" s="211"/>
      <c r="E30" s="211"/>
      <c r="F30" s="211"/>
      <c r="G30" s="211"/>
      <c r="H30" s="211"/>
      <c r="I30" s="211"/>
      <c r="J30" s="211"/>
      <c r="K30" s="211"/>
      <c r="L30" s="211"/>
      <c r="M30" s="211"/>
      <c r="N30" s="211"/>
      <c r="O30" s="211"/>
      <c r="P30" s="211"/>
      <c r="Q30" s="211" t="s">
        <v>1287</v>
      </c>
      <c r="R30" s="211"/>
      <c r="S30" s="211"/>
      <c r="T30" s="211"/>
      <c r="U30" s="211"/>
      <c r="V30" s="211"/>
      <c r="W30" s="211"/>
      <c r="X30" s="211"/>
      <c r="Y30" s="211"/>
      <c r="Z30" s="211"/>
      <c r="AA30" s="211"/>
      <c r="AB30" s="211"/>
      <c r="AC30" s="211"/>
      <c r="AD30" s="211"/>
      <c r="AE30" s="211"/>
      <c r="AF30" s="211"/>
    </row>
    <row r="31" spans="1:32" ht="18" customHeight="1" x14ac:dyDescent="0.25">
      <c r="A31" s="211"/>
      <c r="B31" s="211"/>
      <c r="C31" s="211"/>
      <c r="D31" s="211"/>
      <c r="E31" s="211"/>
      <c r="F31" s="211"/>
      <c r="G31" s="211"/>
      <c r="H31" s="211"/>
      <c r="I31" s="211"/>
      <c r="J31" s="211"/>
      <c r="K31" s="211"/>
      <c r="L31" s="211"/>
      <c r="M31" s="211"/>
      <c r="N31" s="211"/>
      <c r="O31" s="211"/>
      <c r="P31" s="211"/>
      <c r="Q31" s="211"/>
      <c r="R31" s="211"/>
      <c r="S31" s="211"/>
      <c r="T31" s="211"/>
      <c r="U31" s="211"/>
      <c r="V31" s="211"/>
      <c r="W31" s="211"/>
      <c r="X31" s="211"/>
      <c r="Y31" s="211"/>
      <c r="Z31" s="211"/>
      <c r="AA31" s="211"/>
      <c r="AB31" s="211"/>
      <c r="AC31" s="211"/>
      <c r="AD31" s="211"/>
      <c r="AE31" s="211"/>
      <c r="AF31" s="211"/>
    </row>
    <row r="32" spans="1:32" ht="18" customHeight="1" x14ac:dyDescent="0.25">
      <c r="A32" s="211"/>
      <c r="B32" s="211"/>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211"/>
    </row>
    <row r="33" spans="1:32" ht="18" customHeight="1" x14ac:dyDescent="0.25">
      <c r="A33" s="211"/>
      <c r="B33" s="211"/>
      <c r="C33" s="211"/>
      <c r="D33" s="211"/>
      <c r="E33" s="211"/>
      <c r="F33" s="211"/>
      <c r="G33" s="211"/>
      <c r="H33" s="211"/>
      <c r="I33" s="211"/>
      <c r="J33" s="211"/>
      <c r="K33" s="211"/>
      <c r="L33" s="211"/>
      <c r="M33" s="211"/>
      <c r="N33" s="211"/>
      <c r="O33" s="211"/>
      <c r="P33" s="211"/>
      <c r="Q33" s="211"/>
      <c r="R33" s="211"/>
      <c r="S33" s="211"/>
      <c r="T33" s="211"/>
      <c r="U33" s="211"/>
      <c r="V33" s="211"/>
      <c r="W33" s="211"/>
      <c r="X33" s="211"/>
      <c r="Y33" s="211"/>
      <c r="Z33" s="211"/>
      <c r="AA33" s="211"/>
      <c r="AB33" s="211"/>
      <c r="AC33" s="211"/>
      <c r="AD33" s="211"/>
      <c r="AE33" s="211"/>
      <c r="AF33" s="211"/>
    </row>
    <row r="34" spans="1:32" ht="18" customHeight="1" x14ac:dyDescent="0.25">
      <c r="A34" s="237"/>
      <c r="B34" s="237"/>
      <c r="C34" s="237"/>
      <c r="D34" s="237"/>
      <c r="E34" s="237"/>
      <c r="F34" s="237"/>
      <c r="G34" s="237"/>
      <c r="H34" s="237"/>
      <c r="I34" s="237"/>
      <c r="J34" s="237"/>
      <c r="K34" s="237"/>
      <c r="L34" s="237"/>
      <c r="M34" s="237"/>
      <c r="N34" s="237"/>
      <c r="O34" s="237"/>
      <c r="P34" s="237"/>
      <c r="Q34" s="237"/>
      <c r="R34" s="237"/>
      <c r="S34" s="237"/>
      <c r="T34" s="237"/>
      <c r="U34" s="237"/>
      <c r="V34" s="237"/>
      <c r="W34" s="237"/>
      <c r="X34" s="237"/>
      <c r="Y34" s="237"/>
      <c r="Z34" s="237"/>
      <c r="AA34" s="237"/>
      <c r="AB34" s="237"/>
      <c r="AC34" s="237"/>
      <c r="AD34" s="237"/>
      <c r="AE34" s="237"/>
      <c r="AF34" s="237"/>
    </row>
    <row r="35" spans="1:32" s="67" customFormat="1" ht="18" customHeight="1" x14ac:dyDescent="0.25">
      <c r="A35" s="215" t="s">
        <v>1224</v>
      </c>
      <c r="B35" s="215"/>
      <c r="C35" s="215"/>
      <c r="D35" s="215" t="str" cm="1">
        <f t="array" ref="D35">INDEX(studentdata[Name],AG1)</f>
        <v>Omar Zaman</v>
      </c>
      <c r="E35" s="215"/>
      <c r="F35" s="215"/>
      <c r="G35" s="215"/>
      <c r="H35" s="215"/>
      <c r="I35" s="215"/>
      <c r="J35" s="215"/>
      <c r="K35" s="215"/>
      <c r="L35" s="215"/>
      <c r="M35" s="215"/>
      <c r="N35" s="215"/>
      <c r="O35" s="215"/>
      <c r="P35" s="215"/>
      <c r="Q35" s="215"/>
      <c r="R35" s="215"/>
      <c r="S35" s="215"/>
      <c r="T35" s="239" t="s">
        <v>1288</v>
      </c>
      <c r="U35" s="239"/>
      <c r="V35" s="215" t="e" cm="1">
        <f t="array" ref="V35">INDEX(#REF!,AG1)</f>
        <v>#REF!</v>
      </c>
      <c r="W35" s="215"/>
      <c r="X35" s="239" t="s">
        <v>1226</v>
      </c>
      <c r="Y35" s="240"/>
      <c r="Z35" s="240" cm="1">
        <f t="array" ref="Z35">INDEX(studentdata[Level],AG1)</f>
        <v>4</v>
      </c>
      <c r="AA35" s="241"/>
      <c r="AB35" s="173" t="str" cm="1">
        <f t="array" ref="AB35">INDEX(studentdata[Gender],AG1)</f>
        <v>M</v>
      </c>
      <c r="AC35" s="238" t="s">
        <v>1227</v>
      </c>
      <c r="AD35" s="239"/>
      <c r="AE35" s="215" cm="1">
        <f t="array" ref="AE35">INDEX(studentdata[RG],AG1)</f>
        <v>50</v>
      </c>
      <c r="AF35" s="215"/>
    </row>
    <row r="36" spans="1:32" ht="18" customHeight="1" x14ac:dyDescent="0.25">
      <c r="A36" s="215" t="s">
        <v>1289</v>
      </c>
      <c r="B36" s="215"/>
      <c r="C36" s="215"/>
      <c r="D36" s="215"/>
      <c r="E36" s="215"/>
      <c r="F36" s="215" t="str" cm="1">
        <f t="array" ref="F36">INDEX(studentdata[Father Name],AG1)</f>
        <v>Opu Zaman</v>
      </c>
      <c r="G36" s="215"/>
      <c r="H36" s="215"/>
      <c r="I36" s="215"/>
      <c r="J36" s="215"/>
      <c r="K36" s="215"/>
      <c r="L36" s="215"/>
      <c r="M36" s="215"/>
      <c r="N36" s="215"/>
      <c r="O36" s="215"/>
      <c r="P36" s="215"/>
      <c r="Q36" s="215" t="s">
        <v>1290</v>
      </c>
      <c r="R36" s="215"/>
      <c r="S36" s="215"/>
      <c r="T36" s="215"/>
      <c r="U36" s="215"/>
      <c r="V36" s="215" t="str" cm="1">
        <f t="array" ref="V36">INDEX(studentdata[Mother Name],AG1)</f>
        <v>Khaleda Akhter</v>
      </c>
      <c r="W36" s="215"/>
      <c r="X36" s="215"/>
      <c r="Y36" s="215"/>
      <c r="Z36" s="216"/>
      <c r="AA36" s="216"/>
      <c r="AB36" s="216"/>
      <c r="AC36" s="215"/>
      <c r="AD36" s="215"/>
      <c r="AE36" s="215"/>
      <c r="AF36" s="215"/>
    </row>
    <row r="37" spans="1:32" ht="18" customHeight="1" x14ac:dyDescent="0.25">
      <c r="A37" s="215" t="s">
        <v>1291</v>
      </c>
      <c r="B37" s="215"/>
      <c r="C37" s="215"/>
      <c r="D37" s="215"/>
      <c r="E37" s="215"/>
      <c r="F37" s="215" cm="1">
        <f t="array" ref="F37">INDEX(studentdata[Father Phone],AG1)</f>
        <v>13138985118</v>
      </c>
      <c r="G37" s="215"/>
      <c r="H37" s="215"/>
      <c r="I37" s="215"/>
      <c r="J37" s="215"/>
      <c r="K37" s="215"/>
      <c r="L37" s="215"/>
      <c r="M37" s="215"/>
      <c r="N37" s="215"/>
      <c r="O37" s="215"/>
      <c r="P37" s="215"/>
      <c r="Q37" s="215" t="s">
        <v>1292</v>
      </c>
      <c r="R37" s="215"/>
      <c r="S37" s="215"/>
      <c r="T37" s="215"/>
      <c r="U37" s="215"/>
      <c r="V37" s="215" cm="1">
        <f t="array" ref="V37">INDEX(studentdata[Mother Phone],AG1)</f>
        <v>15868225961</v>
      </c>
      <c r="W37" s="215"/>
      <c r="X37" s="215"/>
      <c r="Y37" s="215"/>
      <c r="Z37" s="216"/>
      <c r="AA37" s="216"/>
      <c r="AB37" s="216"/>
      <c r="AC37" s="215"/>
      <c r="AD37" s="215"/>
      <c r="AE37" s="215"/>
      <c r="AF37" s="215"/>
    </row>
    <row r="38" spans="1:32" ht="18" customHeight="1" x14ac:dyDescent="0.25">
      <c r="A38" s="72"/>
      <c r="B38" s="72"/>
      <c r="C38" s="72"/>
      <c r="D38" s="72"/>
      <c r="E38" s="72"/>
      <c r="F38" s="72"/>
      <c r="G38" s="72"/>
      <c r="H38" s="72"/>
      <c r="I38" s="72"/>
      <c r="J38" s="72"/>
      <c r="K38" s="72"/>
      <c r="L38" s="72"/>
      <c r="M38" s="72"/>
      <c r="N38" s="72"/>
      <c r="O38" s="72"/>
      <c r="P38" s="72"/>
      <c r="Q38" s="72"/>
      <c r="R38" s="72"/>
      <c r="S38" s="72"/>
      <c r="T38" s="72"/>
      <c r="U38" s="72"/>
      <c r="V38" s="72"/>
      <c r="W38" s="72"/>
      <c r="X38" s="72"/>
      <c r="Y38" s="72"/>
      <c r="Z38" s="72"/>
      <c r="AA38" s="72"/>
      <c r="AB38" s="72"/>
      <c r="AC38" s="72"/>
      <c r="AD38" s="72"/>
      <c r="AE38" s="72"/>
      <c r="AF38" s="72"/>
    </row>
    <row r="39" spans="1:32" ht="18" customHeight="1" x14ac:dyDescent="0.25">
      <c r="A39" s="74"/>
      <c r="B39" s="67" t="s">
        <v>1293</v>
      </c>
      <c r="C39" s="67"/>
      <c r="D39" s="67"/>
      <c r="E39" s="67"/>
      <c r="F39" s="67"/>
      <c r="G39" s="67"/>
      <c r="H39" s="67"/>
      <c r="I39" s="67"/>
      <c r="J39" s="67"/>
      <c r="K39" s="67"/>
      <c r="L39" s="67"/>
      <c r="M39" s="67"/>
      <c r="N39" s="67"/>
      <c r="O39" s="67"/>
      <c r="P39" s="74"/>
      <c r="Q39" s="67" t="s">
        <v>1294</v>
      </c>
      <c r="R39" s="67"/>
      <c r="S39" s="67"/>
      <c r="T39" s="67"/>
      <c r="U39" s="67"/>
      <c r="V39" s="67"/>
      <c r="W39" s="67"/>
      <c r="X39" s="67"/>
      <c r="Y39" s="67"/>
      <c r="Z39" s="67"/>
      <c r="AA39" s="67"/>
      <c r="AB39" s="67"/>
    </row>
    <row r="40" spans="1:32" ht="18" customHeight="1" x14ac:dyDescent="0.25">
      <c r="E40" s="67"/>
      <c r="F40" s="67"/>
      <c r="G40" s="67"/>
      <c r="H40" s="67"/>
      <c r="I40" s="67"/>
      <c r="J40" s="67"/>
      <c r="K40" s="67"/>
      <c r="L40" s="67"/>
      <c r="M40" s="67"/>
      <c r="N40" s="67"/>
      <c r="O40" s="67"/>
      <c r="P40" s="67"/>
      <c r="Q40" s="67"/>
      <c r="R40" s="67"/>
      <c r="S40" s="67"/>
      <c r="T40" s="67"/>
      <c r="U40" s="67"/>
      <c r="V40" s="67"/>
      <c r="W40" s="67"/>
      <c r="X40" s="67"/>
      <c r="Y40" s="67"/>
      <c r="Z40" s="67"/>
      <c r="AA40" s="67"/>
      <c r="AB40" s="67"/>
    </row>
    <row r="41" spans="1:32" ht="18" customHeight="1" x14ac:dyDescent="0.25">
      <c r="A41" s="74"/>
      <c r="B41" s="67" t="s">
        <v>1295</v>
      </c>
      <c r="E41" s="67"/>
      <c r="F41" s="67"/>
      <c r="G41" s="67"/>
      <c r="H41" s="67"/>
      <c r="I41" s="67"/>
      <c r="J41" s="67"/>
      <c r="K41" s="67"/>
      <c r="L41" s="67"/>
      <c r="M41" s="67"/>
      <c r="N41" s="67"/>
      <c r="O41" s="67"/>
      <c r="P41" s="74"/>
      <c r="Q41" s="67" t="s">
        <v>1296</v>
      </c>
      <c r="R41" s="67"/>
      <c r="S41" s="67"/>
      <c r="T41" s="67"/>
      <c r="U41" s="67"/>
      <c r="V41" s="67"/>
      <c r="W41" s="67"/>
      <c r="X41" s="67"/>
      <c r="Y41" s="67"/>
      <c r="Z41" s="67"/>
      <c r="AA41" s="67"/>
      <c r="AB41" s="67"/>
    </row>
    <row r="42" spans="1:32" ht="18" customHeight="1" x14ac:dyDescent="0.25">
      <c r="A42" s="67"/>
      <c r="B42" s="67"/>
      <c r="C42" s="67"/>
      <c r="D42" s="67"/>
      <c r="N42" s="67"/>
      <c r="O42" s="67"/>
      <c r="P42" s="67"/>
      <c r="Q42" s="67"/>
      <c r="R42" s="67"/>
      <c r="S42" s="67"/>
      <c r="T42" s="67"/>
      <c r="U42" s="67"/>
      <c r="V42" s="67"/>
      <c r="W42" s="67"/>
      <c r="X42" s="67"/>
      <c r="Y42" s="67"/>
      <c r="Z42" s="67"/>
      <c r="AA42" s="67"/>
      <c r="AB42" s="67"/>
    </row>
  </sheetData>
  <mergeCells count="65">
    <mergeCell ref="V36:AF36"/>
    <mergeCell ref="A30:P34"/>
    <mergeCell ref="Q30:AF34"/>
    <mergeCell ref="A20:K20"/>
    <mergeCell ref="V22:AF22"/>
    <mergeCell ref="R23:U23"/>
    <mergeCell ref="V23:AF23"/>
    <mergeCell ref="AE35:AF35"/>
    <mergeCell ref="AC35:AD35"/>
    <mergeCell ref="Z35:AA35"/>
    <mergeCell ref="X35:Y35"/>
    <mergeCell ref="V35:W35"/>
    <mergeCell ref="T35:U35"/>
    <mergeCell ref="A35:C35"/>
    <mergeCell ref="D35:S35"/>
    <mergeCell ref="R24:U24"/>
    <mergeCell ref="V24:AF24"/>
    <mergeCell ref="R22:U22"/>
    <mergeCell ref="A27:B27"/>
    <mergeCell ref="R20:U20"/>
    <mergeCell ref="V20:AF20"/>
    <mergeCell ref="R21:U21"/>
    <mergeCell ref="V21:AF21"/>
    <mergeCell ref="L20:Q20"/>
    <mergeCell ref="R11:U11"/>
    <mergeCell ref="R12:U12"/>
    <mergeCell ref="R13:U13"/>
    <mergeCell ref="R9:U9"/>
    <mergeCell ref="V9:AF9"/>
    <mergeCell ref="V10:AF10"/>
    <mergeCell ref="V11:AF11"/>
    <mergeCell ref="V12:AF12"/>
    <mergeCell ref="V13:AF13"/>
    <mergeCell ref="A1:AF1"/>
    <mergeCell ref="A2:K4"/>
    <mergeCell ref="W2:AF4"/>
    <mergeCell ref="A16:AF19"/>
    <mergeCell ref="L13:Q13"/>
    <mergeCell ref="L12:Q12"/>
    <mergeCell ref="L11:Q11"/>
    <mergeCell ref="L10:Q10"/>
    <mergeCell ref="L9:Q9"/>
    <mergeCell ref="A9:K9"/>
    <mergeCell ref="A10:K10"/>
    <mergeCell ref="A11:K11"/>
    <mergeCell ref="A12:K12"/>
    <mergeCell ref="A13:K13"/>
    <mergeCell ref="A5:AF8"/>
    <mergeCell ref="R10:U10"/>
    <mergeCell ref="A37:E37"/>
    <mergeCell ref="Q37:U37"/>
    <mergeCell ref="F37:P37"/>
    <mergeCell ref="V37:AF37"/>
    <mergeCell ref="L21:Q21"/>
    <mergeCell ref="L22:Q22"/>
    <mergeCell ref="L23:Q23"/>
    <mergeCell ref="L24:Q24"/>
    <mergeCell ref="A21:K21"/>
    <mergeCell ref="A22:K22"/>
    <mergeCell ref="A23:K23"/>
    <mergeCell ref="A24:K24"/>
    <mergeCell ref="Q36:U36"/>
    <mergeCell ref="A36:E36"/>
    <mergeCell ref="F36:P36"/>
    <mergeCell ref="A29:AF29"/>
  </mergeCells>
  <phoneticPr fontId="18" type="noConversion"/>
  <hyperlinks>
    <hyperlink ref="AH2" location="reportcards!A1" display="reportcards" xr:uid="{347BDEB4-9DB2-46A9-9FD5-FD15CBA5C75D}"/>
    <hyperlink ref="AH3" location="Settings!A1" display="settings" xr:uid="{B77093E8-D5A9-4986-9497-1B62C0BF835A}"/>
  </hyperlinks>
  <printOptions horizontalCentered="1"/>
  <pageMargins left="0.25" right="0.25" top="0.25" bottom="0.25" header="0" footer="0"/>
  <pageSetup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GenerateAllReportCardsSheetFromSettings">
                <anchor moveWithCells="1" sizeWithCells="1">
                  <from>
                    <xdr:col>33</xdr:col>
                    <xdr:colOff>19050</xdr:colOff>
                    <xdr:row>0</xdr:row>
                    <xdr:rowOff>0</xdr:rowOff>
                  </from>
                  <to>
                    <xdr:col>33</xdr:col>
                    <xdr:colOff>1609725</xdr:colOff>
                    <xdr:row>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F4F286-8FAA-4CF4-9630-D58D0462F4F2}">
  <sheetPr codeName="Sheet16">
    <tabColor rgb="FFFFC000"/>
  </sheetPr>
  <dimension ref="A1:AA200"/>
  <sheetViews>
    <sheetView view="pageLayout" zoomScale="85" zoomScaleNormal="100" zoomScalePageLayoutView="85" workbookViewId="0">
      <selection activeCell="F17" sqref="A1:F17"/>
    </sheetView>
  </sheetViews>
  <sheetFormatPr defaultColWidth="31" defaultRowHeight="36" customHeight="1" x14ac:dyDescent="0.25"/>
  <cols>
    <col min="1" max="1" width="3.140625" style="79" customWidth="1"/>
    <col min="2" max="2" width="51" style="67" customWidth="1"/>
    <col min="3" max="3" width="12.7109375" style="85" customWidth="1"/>
    <col min="4" max="4" width="47.85546875" style="67" customWidth="1"/>
    <col min="5" max="5" width="3.140625" style="80" customWidth="1"/>
    <col min="6" max="6" width="16" style="67" customWidth="1"/>
    <col min="7" max="7" width="12.7109375" style="67" customWidth="1"/>
    <col min="8" max="8" width="2" style="67" bestFit="1" customWidth="1"/>
    <col min="9" max="9" width="12.7109375" style="67" customWidth="1"/>
    <col min="10" max="16384" width="31" style="67"/>
  </cols>
  <sheetData>
    <row r="1" spans="1:27" ht="18" customHeight="1" x14ac:dyDescent="0.25">
      <c r="A1" s="77"/>
      <c r="B1" s="68"/>
      <c r="C1" s="84"/>
      <c r="D1" s="68"/>
      <c r="F1" s="68"/>
      <c r="G1" s="87"/>
      <c r="N1" s="85"/>
      <c r="O1" s="85"/>
      <c r="P1" s="85"/>
      <c r="Q1" s="85"/>
    </row>
    <row r="2" spans="1:27" ht="18" customHeight="1" x14ac:dyDescent="0.25">
      <c r="A2" s="77"/>
      <c r="B2" s="68"/>
      <c r="C2" s="84"/>
      <c r="D2" s="68"/>
      <c r="F2" s="68"/>
      <c r="Q2" s="85"/>
      <c r="R2" s="85"/>
      <c r="S2" s="85"/>
      <c r="T2" s="85"/>
      <c r="U2" s="85"/>
      <c r="V2" s="85"/>
      <c r="W2" s="85"/>
      <c r="X2" s="85"/>
      <c r="Y2" s="85"/>
      <c r="Z2" s="85"/>
      <c r="AA2" s="85"/>
    </row>
    <row r="3" spans="1:27" ht="18" customHeight="1" x14ac:dyDescent="0.25">
      <c r="A3" s="87"/>
      <c r="B3" s="68"/>
      <c r="C3" s="84"/>
      <c r="D3" s="68"/>
      <c r="F3" s="68"/>
    </row>
    <row r="4" spans="1:27" ht="36" customHeight="1" x14ac:dyDescent="0.25">
      <c r="A4" s="181"/>
      <c r="B4" s="182" t="s">
        <v>1297</v>
      </c>
      <c r="C4" s="183" t="s">
        <v>1298</v>
      </c>
      <c r="D4" s="182" t="s">
        <v>1299</v>
      </c>
      <c r="E4" s="182"/>
      <c r="F4" s="182" t="s">
        <v>1300</v>
      </c>
    </row>
    <row r="5" spans="1:27" ht="36" customHeight="1" x14ac:dyDescent="0.25">
      <c r="A5" s="184" cm="1">
        <f t="array" ref="A5:A14">_xlfn._xlws.FILTER(
    _xlfn.SEQUENCE(I5-G5+1,,G5),
    IF(
        J5="Weekend",
        WEEKDAY(_xlfn.SEQUENCE(I5-G5+1,,G5),2)&gt;5,
        IF(
            J5="Weekday",
            WEEKDAY(_xlfn.SEQUENCE(I5-G5+1,,G5),2)&lt;6,
            IF(
                J5="Evening",
                WEEKDAY(_xlfn.SEQUENCE(I5-G5+1,,G5),2)&lt;=4,
                TRUE
            )
        )
    )
)</f>
        <v>46144</v>
      </c>
      <c r="C5" s="185" t="str" cm="1">
        <f t="array" ref="C5:C200">IF(A5:A200&lt;&gt;"", "☐ Satisfactory" &amp; CHAR(10) &amp; "☐ Unsatisfactory" &amp; CHAR(10) &amp; "☐ Excellent", "")</f>
        <v>☐ Satisfactory
☐ Unsatisfactory
☐ Excellent</v>
      </c>
      <c r="E5" s="186" t="str" cm="1">
        <f t="array" ref="E5:E200">IF(A5:A200&lt;&gt;"", "☐", "")</f>
        <v>☐</v>
      </c>
      <c r="G5" s="144">
        <v>46143</v>
      </c>
      <c r="H5" s="80" t="s">
        <v>1284</v>
      </c>
      <c r="I5" s="144">
        <v>46173</v>
      </c>
      <c r="J5" s="150" t="s">
        <v>1128</v>
      </c>
    </row>
    <row r="6" spans="1:27" ht="36" customHeight="1" x14ac:dyDescent="0.25">
      <c r="A6" s="79">
        <v>46145</v>
      </c>
      <c r="C6" s="185" t="str">
        <v>☐ Satisfactory
☐ Unsatisfactory
☐ Excellent</v>
      </c>
      <c r="E6" s="186" t="str">
        <v>☐</v>
      </c>
    </row>
    <row r="7" spans="1:27" ht="36" customHeight="1" x14ac:dyDescent="0.25">
      <c r="A7" s="79">
        <v>46151</v>
      </c>
      <c r="C7" s="185" t="str">
        <v>☐ Satisfactory
☐ Unsatisfactory
☐ Excellent</v>
      </c>
      <c r="E7" s="186" t="str">
        <v>☐</v>
      </c>
    </row>
    <row r="8" spans="1:27" ht="36" customHeight="1" x14ac:dyDescent="0.25">
      <c r="A8" s="79">
        <v>46152</v>
      </c>
      <c r="C8" s="185" t="str">
        <v>☐ Satisfactory
☐ Unsatisfactory
☐ Excellent</v>
      </c>
      <c r="E8" s="186" t="str">
        <v>☐</v>
      </c>
    </row>
    <row r="9" spans="1:27" ht="36" customHeight="1" x14ac:dyDescent="0.25">
      <c r="A9" s="79">
        <v>46158</v>
      </c>
      <c r="C9" s="185" t="str">
        <v>☐ Satisfactory
☐ Unsatisfactory
☐ Excellent</v>
      </c>
      <c r="E9" s="186" t="str">
        <v>☐</v>
      </c>
    </row>
    <row r="10" spans="1:27" ht="36" customHeight="1" x14ac:dyDescent="0.25">
      <c r="A10" s="79">
        <v>46159</v>
      </c>
      <c r="C10" s="185" t="str">
        <v>☐ Satisfactory
☐ Unsatisfactory
☐ Excellent</v>
      </c>
      <c r="E10" s="186" t="str">
        <v>☐</v>
      </c>
      <c r="J10" s="85" t="s">
        <v>1326</v>
      </c>
    </row>
    <row r="11" spans="1:27" ht="36" customHeight="1" x14ac:dyDescent="0.25">
      <c r="A11" s="79">
        <v>46165</v>
      </c>
      <c r="C11" s="185" t="str">
        <v>☐ Satisfactory
☐ Unsatisfactory
☐ Excellent</v>
      </c>
      <c r="E11" s="186" t="str">
        <v>☐</v>
      </c>
    </row>
    <row r="12" spans="1:27" ht="36" customHeight="1" x14ac:dyDescent="0.25">
      <c r="A12" s="79">
        <v>46166</v>
      </c>
      <c r="C12" s="185" t="str">
        <v>☐ Satisfactory
☐ Unsatisfactory
☐ Excellent</v>
      </c>
      <c r="E12" s="186" t="str">
        <v>☐</v>
      </c>
    </row>
    <row r="13" spans="1:27" ht="36" customHeight="1" x14ac:dyDescent="0.25">
      <c r="A13" s="79">
        <v>46172</v>
      </c>
      <c r="C13" s="185" t="str">
        <v>☐ Satisfactory
☐ Unsatisfactory
☐ Excellent</v>
      </c>
      <c r="E13" s="186" t="str">
        <v>☐</v>
      </c>
    </row>
    <row r="14" spans="1:27" ht="36" customHeight="1" x14ac:dyDescent="0.25">
      <c r="A14" s="79">
        <v>46173</v>
      </c>
      <c r="C14" s="185" t="str">
        <v>☐ Satisfactory
☐ Unsatisfactory
☐ Excellent</v>
      </c>
      <c r="E14" s="186" t="str">
        <v>☐</v>
      </c>
    </row>
    <row r="15" spans="1:27" ht="36" customHeight="1" x14ac:dyDescent="0.25">
      <c r="C15" s="185" t="str">
        <v/>
      </c>
      <c r="E15" s="186" t="str">
        <v/>
      </c>
    </row>
    <row r="16" spans="1:27" ht="36" customHeight="1" x14ac:dyDescent="0.25">
      <c r="C16" s="185" t="str">
        <v/>
      </c>
      <c r="E16" s="186" t="str">
        <v/>
      </c>
    </row>
    <row r="17" spans="3:6" ht="36" customHeight="1" x14ac:dyDescent="0.25">
      <c r="C17" s="185" t="str">
        <v/>
      </c>
      <c r="E17" s="186" t="str">
        <v/>
      </c>
    </row>
    <row r="18" spans="3:6" ht="36" customHeight="1" x14ac:dyDescent="0.25">
      <c r="C18" s="185" t="str">
        <v/>
      </c>
      <c r="E18" s="186" t="str">
        <v/>
      </c>
    </row>
    <row r="19" spans="3:6" ht="36" customHeight="1" x14ac:dyDescent="0.25">
      <c r="C19" s="185" t="str">
        <v/>
      </c>
      <c r="E19" s="186" t="str">
        <v/>
      </c>
    </row>
    <row r="20" spans="3:6" ht="36" customHeight="1" x14ac:dyDescent="0.25">
      <c r="C20" s="185" t="str">
        <v/>
      </c>
      <c r="E20" s="186" t="str">
        <v/>
      </c>
    </row>
    <row r="21" spans="3:6" ht="36" customHeight="1" x14ac:dyDescent="0.25">
      <c r="C21" s="185" t="str">
        <v/>
      </c>
      <c r="E21" s="186" t="str">
        <v/>
      </c>
    </row>
    <row r="22" spans="3:6" ht="36" customHeight="1" x14ac:dyDescent="0.25">
      <c r="C22" s="185" t="str">
        <v/>
      </c>
      <c r="E22" s="186" t="str">
        <v/>
      </c>
    </row>
    <row r="23" spans="3:6" ht="36" customHeight="1" x14ac:dyDescent="0.25">
      <c r="C23" s="185" t="str">
        <v/>
      </c>
      <c r="E23" s="186" t="str">
        <v/>
      </c>
    </row>
    <row r="24" spans="3:6" ht="36" customHeight="1" x14ac:dyDescent="0.25">
      <c r="C24" s="185" t="str">
        <v/>
      </c>
      <c r="E24" s="186" t="str">
        <v/>
      </c>
    </row>
    <row r="25" spans="3:6" ht="36" customHeight="1" x14ac:dyDescent="0.25">
      <c r="C25" s="185" t="str">
        <v/>
      </c>
      <c r="E25" s="186" t="str">
        <v/>
      </c>
    </row>
    <row r="26" spans="3:6" ht="36" customHeight="1" x14ac:dyDescent="0.25">
      <c r="C26" s="185" t="str">
        <v/>
      </c>
      <c r="E26" s="186" t="str">
        <v/>
      </c>
    </row>
    <row r="27" spans="3:6" ht="36" customHeight="1" x14ac:dyDescent="0.25">
      <c r="C27" s="185" t="str">
        <v/>
      </c>
      <c r="E27" s="186" t="str">
        <v/>
      </c>
    </row>
    <row r="28" spans="3:6" ht="36" customHeight="1" x14ac:dyDescent="0.25">
      <c r="C28" s="185" t="str">
        <v/>
      </c>
      <c r="E28" s="186" t="str">
        <v/>
      </c>
    </row>
    <row r="29" spans="3:6" ht="36" customHeight="1" x14ac:dyDescent="0.25">
      <c r="C29" s="185" t="str">
        <v/>
      </c>
      <c r="E29" s="186" t="str">
        <v/>
      </c>
    </row>
    <row r="30" spans="3:6" ht="36" customHeight="1" x14ac:dyDescent="0.25">
      <c r="C30" s="185" t="str">
        <v/>
      </c>
      <c r="E30" s="186" t="str">
        <v/>
      </c>
      <c r="F30" s="67" t="s">
        <v>1322</v>
      </c>
    </row>
    <row r="31" spans="3:6" ht="36" customHeight="1" x14ac:dyDescent="0.25">
      <c r="C31" s="185" t="str">
        <v/>
      </c>
      <c r="E31" s="186" t="str">
        <v/>
      </c>
    </row>
    <row r="32" spans="3:6" ht="36" customHeight="1" x14ac:dyDescent="0.25">
      <c r="C32" s="185" t="str">
        <v/>
      </c>
      <c r="E32" s="186" t="str">
        <v/>
      </c>
    </row>
    <row r="33" spans="3:5" ht="36" customHeight="1" x14ac:dyDescent="0.25">
      <c r="C33" s="185" t="str">
        <v/>
      </c>
      <c r="E33" s="186" t="str">
        <v/>
      </c>
    </row>
    <row r="34" spans="3:5" ht="36" customHeight="1" x14ac:dyDescent="0.25">
      <c r="C34" s="185" t="str">
        <v/>
      </c>
      <c r="E34" s="186" t="str">
        <v/>
      </c>
    </row>
    <row r="35" spans="3:5" ht="36" customHeight="1" x14ac:dyDescent="0.25">
      <c r="C35" s="185" t="str">
        <v/>
      </c>
      <c r="E35" s="186" t="str">
        <v/>
      </c>
    </row>
    <row r="36" spans="3:5" ht="36" customHeight="1" x14ac:dyDescent="0.25">
      <c r="C36" s="185" t="str">
        <v/>
      </c>
      <c r="E36" s="186" t="str">
        <v/>
      </c>
    </row>
    <row r="37" spans="3:5" ht="36" customHeight="1" x14ac:dyDescent="0.25">
      <c r="C37" s="185" t="str">
        <v/>
      </c>
      <c r="E37" s="186" t="str">
        <v/>
      </c>
    </row>
    <row r="38" spans="3:5" ht="36" customHeight="1" x14ac:dyDescent="0.25">
      <c r="C38" s="185" t="str">
        <v/>
      </c>
      <c r="E38" s="186" t="str">
        <v/>
      </c>
    </row>
    <row r="39" spans="3:5" ht="36" customHeight="1" x14ac:dyDescent="0.25">
      <c r="C39" s="185" t="str">
        <v/>
      </c>
      <c r="E39" s="186" t="str">
        <v/>
      </c>
    </row>
    <row r="40" spans="3:5" ht="36" customHeight="1" x14ac:dyDescent="0.25">
      <c r="C40" s="185" t="str">
        <v/>
      </c>
      <c r="E40" s="186" t="str">
        <v/>
      </c>
    </row>
    <row r="41" spans="3:5" ht="36" customHeight="1" x14ac:dyDescent="0.25">
      <c r="C41" s="185" t="str">
        <v/>
      </c>
      <c r="E41" s="186" t="str">
        <v/>
      </c>
    </row>
    <row r="42" spans="3:5" ht="36" customHeight="1" x14ac:dyDescent="0.25">
      <c r="C42" s="185" t="str">
        <v/>
      </c>
      <c r="E42" s="186" t="str">
        <v/>
      </c>
    </row>
    <row r="43" spans="3:5" ht="36" customHeight="1" x14ac:dyDescent="0.25">
      <c r="C43" s="185" t="str">
        <v/>
      </c>
      <c r="E43" s="186" t="str">
        <v/>
      </c>
    </row>
    <row r="44" spans="3:5" ht="36" customHeight="1" x14ac:dyDescent="0.25">
      <c r="C44" s="185" t="str">
        <v/>
      </c>
      <c r="E44" s="186" t="str">
        <v/>
      </c>
    </row>
    <row r="45" spans="3:5" ht="36" customHeight="1" x14ac:dyDescent="0.25">
      <c r="C45" s="185" t="str">
        <v/>
      </c>
      <c r="E45" s="186" t="str">
        <v/>
      </c>
    </row>
    <row r="46" spans="3:5" ht="36" customHeight="1" x14ac:dyDescent="0.25">
      <c r="C46" s="185" t="str">
        <v/>
      </c>
      <c r="E46" s="186" t="str">
        <v/>
      </c>
    </row>
    <row r="47" spans="3:5" ht="36" customHeight="1" x14ac:dyDescent="0.25">
      <c r="C47" s="185" t="str">
        <v/>
      </c>
      <c r="E47" s="186" t="str">
        <v/>
      </c>
    </row>
    <row r="48" spans="3:5" ht="36" customHeight="1" x14ac:dyDescent="0.25">
      <c r="C48" s="185" t="str">
        <v/>
      </c>
      <c r="E48" s="186" t="str">
        <v/>
      </c>
    </row>
    <row r="49" spans="3:5" ht="36" customHeight="1" x14ac:dyDescent="0.25">
      <c r="C49" s="185" t="str">
        <v/>
      </c>
      <c r="E49" s="186" t="str">
        <v/>
      </c>
    </row>
    <row r="50" spans="3:5" ht="36" customHeight="1" x14ac:dyDescent="0.25">
      <c r="C50" s="185" t="str">
        <v/>
      </c>
      <c r="E50" s="186" t="str">
        <v/>
      </c>
    </row>
    <row r="51" spans="3:5" ht="36" customHeight="1" x14ac:dyDescent="0.25">
      <c r="C51" s="185" t="str">
        <v/>
      </c>
      <c r="E51" s="186" t="str">
        <v/>
      </c>
    </row>
    <row r="52" spans="3:5" ht="36" customHeight="1" x14ac:dyDescent="0.25">
      <c r="C52" s="185" t="str">
        <v/>
      </c>
      <c r="E52" s="186" t="str">
        <v/>
      </c>
    </row>
    <row r="53" spans="3:5" ht="36" customHeight="1" x14ac:dyDescent="0.25">
      <c r="C53" s="185" t="str">
        <v/>
      </c>
      <c r="E53" s="186" t="str">
        <v/>
      </c>
    </row>
    <row r="54" spans="3:5" ht="36" customHeight="1" x14ac:dyDescent="0.25">
      <c r="C54" s="185" t="str">
        <v/>
      </c>
      <c r="E54" s="186" t="str">
        <v/>
      </c>
    </row>
    <row r="55" spans="3:5" ht="36" customHeight="1" x14ac:dyDescent="0.25">
      <c r="C55" s="185" t="str">
        <v/>
      </c>
      <c r="E55" s="186" t="str">
        <v/>
      </c>
    </row>
    <row r="56" spans="3:5" ht="36" customHeight="1" x14ac:dyDescent="0.25">
      <c r="C56" s="185" t="str">
        <v/>
      </c>
      <c r="E56" s="186" t="str">
        <v/>
      </c>
    </row>
    <row r="57" spans="3:5" ht="36" customHeight="1" x14ac:dyDescent="0.25">
      <c r="C57" s="185" t="str">
        <v/>
      </c>
      <c r="E57" s="186" t="str">
        <v/>
      </c>
    </row>
    <row r="58" spans="3:5" ht="36" customHeight="1" x14ac:dyDescent="0.25">
      <c r="C58" s="185" t="str">
        <v/>
      </c>
      <c r="E58" s="186" t="str">
        <v/>
      </c>
    </row>
    <row r="59" spans="3:5" ht="36" customHeight="1" x14ac:dyDescent="0.25">
      <c r="C59" s="185" t="str">
        <v/>
      </c>
      <c r="E59" s="186" t="str">
        <v/>
      </c>
    </row>
    <row r="60" spans="3:5" ht="36" customHeight="1" x14ac:dyDescent="0.25">
      <c r="C60" s="185" t="str">
        <v/>
      </c>
      <c r="E60" s="186" t="str">
        <v/>
      </c>
    </row>
    <row r="61" spans="3:5" ht="36" customHeight="1" x14ac:dyDescent="0.25">
      <c r="C61" s="185" t="str">
        <v/>
      </c>
      <c r="E61" s="186" t="str">
        <v/>
      </c>
    </row>
    <row r="62" spans="3:5" ht="36" customHeight="1" x14ac:dyDescent="0.25">
      <c r="C62" s="185" t="str">
        <v/>
      </c>
      <c r="E62" s="186" t="str">
        <v/>
      </c>
    </row>
    <row r="63" spans="3:5" ht="36" customHeight="1" x14ac:dyDescent="0.25">
      <c r="C63" s="185" t="str">
        <v/>
      </c>
      <c r="E63" s="186" t="str">
        <v/>
      </c>
    </row>
    <row r="64" spans="3:5" ht="36" customHeight="1" x14ac:dyDescent="0.25">
      <c r="C64" s="185" t="str">
        <v/>
      </c>
      <c r="E64" s="186" t="str">
        <v/>
      </c>
    </row>
    <row r="65" spans="3:5" ht="36" customHeight="1" x14ac:dyDescent="0.25">
      <c r="C65" s="185" t="str">
        <v/>
      </c>
      <c r="E65" s="186" t="str">
        <v/>
      </c>
    </row>
    <row r="66" spans="3:5" ht="36" customHeight="1" x14ac:dyDescent="0.25">
      <c r="C66" s="185" t="str">
        <v/>
      </c>
      <c r="E66" s="186" t="str">
        <v/>
      </c>
    </row>
    <row r="67" spans="3:5" ht="36" customHeight="1" x14ac:dyDescent="0.25">
      <c r="C67" s="185" t="str">
        <v/>
      </c>
      <c r="E67" s="186" t="str">
        <v/>
      </c>
    </row>
    <row r="68" spans="3:5" ht="36" customHeight="1" x14ac:dyDescent="0.25">
      <c r="C68" s="185" t="str">
        <v/>
      </c>
      <c r="E68" s="186" t="str">
        <v/>
      </c>
    </row>
    <row r="69" spans="3:5" ht="36" customHeight="1" x14ac:dyDescent="0.25">
      <c r="C69" s="185" t="str">
        <v/>
      </c>
      <c r="E69" s="186" t="str">
        <v/>
      </c>
    </row>
    <row r="70" spans="3:5" ht="36" customHeight="1" x14ac:dyDescent="0.25">
      <c r="C70" s="185" t="str">
        <v/>
      </c>
      <c r="E70" s="186" t="str">
        <v/>
      </c>
    </row>
    <row r="71" spans="3:5" ht="36" customHeight="1" x14ac:dyDescent="0.25">
      <c r="C71" s="185" t="str">
        <v/>
      </c>
      <c r="E71" s="186" t="str">
        <v/>
      </c>
    </row>
    <row r="72" spans="3:5" ht="36" customHeight="1" x14ac:dyDescent="0.25">
      <c r="C72" s="185" t="str">
        <v/>
      </c>
      <c r="E72" s="186" t="str">
        <v/>
      </c>
    </row>
    <row r="73" spans="3:5" ht="36" customHeight="1" x14ac:dyDescent="0.25">
      <c r="C73" s="185" t="str">
        <v/>
      </c>
      <c r="E73" s="186" t="str">
        <v/>
      </c>
    </row>
    <row r="74" spans="3:5" ht="36" customHeight="1" x14ac:dyDescent="0.25">
      <c r="C74" s="185" t="str">
        <v/>
      </c>
      <c r="E74" s="186" t="str">
        <v/>
      </c>
    </row>
    <row r="75" spans="3:5" ht="36" customHeight="1" x14ac:dyDescent="0.25">
      <c r="C75" s="185" t="str">
        <v/>
      </c>
      <c r="E75" s="186" t="str">
        <v/>
      </c>
    </row>
    <row r="76" spans="3:5" ht="36" customHeight="1" x14ac:dyDescent="0.25">
      <c r="C76" s="185" t="str">
        <v/>
      </c>
      <c r="E76" s="186" t="str">
        <v/>
      </c>
    </row>
    <row r="77" spans="3:5" ht="36" customHeight="1" x14ac:dyDescent="0.25">
      <c r="C77" s="185" t="str">
        <v/>
      </c>
      <c r="E77" s="186" t="str">
        <v/>
      </c>
    </row>
    <row r="78" spans="3:5" ht="36" customHeight="1" x14ac:dyDescent="0.25">
      <c r="C78" s="185" t="str">
        <v/>
      </c>
      <c r="E78" s="186" t="str">
        <v/>
      </c>
    </row>
    <row r="79" spans="3:5" ht="36" customHeight="1" x14ac:dyDescent="0.25">
      <c r="C79" s="185" t="str">
        <v/>
      </c>
      <c r="E79" s="186" t="str">
        <v/>
      </c>
    </row>
    <row r="80" spans="3:5" ht="36" customHeight="1" x14ac:dyDescent="0.25">
      <c r="C80" s="185" t="str">
        <v/>
      </c>
      <c r="E80" s="186" t="str">
        <v/>
      </c>
    </row>
    <row r="81" spans="3:5" ht="36" customHeight="1" x14ac:dyDescent="0.25">
      <c r="C81" s="185" t="str">
        <v/>
      </c>
      <c r="E81" s="186" t="str">
        <v/>
      </c>
    </row>
    <row r="82" spans="3:5" ht="36" customHeight="1" x14ac:dyDescent="0.25">
      <c r="C82" s="185" t="str">
        <v/>
      </c>
      <c r="E82" s="186" t="str">
        <v/>
      </c>
    </row>
    <row r="83" spans="3:5" ht="36" customHeight="1" x14ac:dyDescent="0.25">
      <c r="C83" s="185" t="str">
        <v/>
      </c>
      <c r="E83" s="186" t="str">
        <v/>
      </c>
    </row>
    <row r="84" spans="3:5" ht="36" customHeight="1" x14ac:dyDescent="0.25">
      <c r="C84" s="185" t="str">
        <v/>
      </c>
      <c r="E84" s="186" t="str">
        <v/>
      </c>
    </row>
    <row r="85" spans="3:5" ht="36" customHeight="1" x14ac:dyDescent="0.25">
      <c r="C85" s="185" t="str">
        <v/>
      </c>
      <c r="E85" s="186" t="str">
        <v/>
      </c>
    </row>
    <row r="86" spans="3:5" ht="36" customHeight="1" x14ac:dyDescent="0.25">
      <c r="C86" s="185" t="str">
        <v/>
      </c>
      <c r="E86" s="186" t="str">
        <v/>
      </c>
    </row>
    <row r="87" spans="3:5" ht="36" customHeight="1" x14ac:dyDescent="0.25">
      <c r="C87" s="185" t="str">
        <v/>
      </c>
      <c r="E87" s="186" t="str">
        <v/>
      </c>
    </row>
    <row r="88" spans="3:5" ht="36" customHeight="1" x14ac:dyDescent="0.25">
      <c r="C88" s="185" t="str">
        <v/>
      </c>
      <c r="E88" s="186" t="str">
        <v/>
      </c>
    </row>
    <row r="89" spans="3:5" ht="36" customHeight="1" x14ac:dyDescent="0.25">
      <c r="C89" s="185" t="str">
        <v/>
      </c>
      <c r="E89" s="186" t="str">
        <v/>
      </c>
    </row>
    <row r="90" spans="3:5" ht="36" customHeight="1" x14ac:dyDescent="0.25">
      <c r="C90" s="185" t="str">
        <v/>
      </c>
      <c r="E90" s="186" t="str">
        <v/>
      </c>
    </row>
    <row r="91" spans="3:5" ht="36" customHeight="1" x14ac:dyDescent="0.25">
      <c r="C91" s="185" t="str">
        <v/>
      </c>
      <c r="E91" s="186" t="str">
        <v/>
      </c>
    </row>
    <row r="92" spans="3:5" ht="36" customHeight="1" x14ac:dyDescent="0.25">
      <c r="C92" s="185" t="str">
        <v/>
      </c>
      <c r="E92" s="186" t="str">
        <v/>
      </c>
    </row>
    <row r="93" spans="3:5" ht="36" customHeight="1" x14ac:dyDescent="0.25">
      <c r="C93" s="185" t="str">
        <v/>
      </c>
      <c r="E93" s="186" t="str">
        <v/>
      </c>
    </row>
    <row r="94" spans="3:5" ht="36" customHeight="1" x14ac:dyDescent="0.25">
      <c r="C94" s="185" t="str">
        <v/>
      </c>
      <c r="E94" s="186" t="str">
        <v/>
      </c>
    </row>
    <row r="95" spans="3:5" ht="36" customHeight="1" x14ac:dyDescent="0.25">
      <c r="C95" s="185" t="str">
        <v/>
      </c>
      <c r="E95" s="186" t="str">
        <v/>
      </c>
    </row>
    <row r="96" spans="3:5" ht="36" customHeight="1" x14ac:dyDescent="0.25">
      <c r="C96" s="85" t="str">
        <v/>
      </c>
      <c r="E96" s="80" t="str">
        <v/>
      </c>
    </row>
    <row r="97" spans="3:5" ht="36" customHeight="1" x14ac:dyDescent="0.25">
      <c r="C97" s="85" t="str">
        <v/>
      </c>
      <c r="E97" s="80" t="str">
        <v/>
      </c>
    </row>
    <row r="98" spans="3:5" ht="36" customHeight="1" x14ac:dyDescent="0.25">
      <c r="C98" s="85" t="str">
        <v/>
      </c>
      <c r="E98" s="80" t="str">
        <v/>
      </c>
    </row>
    <row r="99" spans="3:5" ht="36" customHeight="1" x14ac:dyDescent="0.25">
      <c r="C99" s="85" t="str">
        <v/>
      </c>
      <c r="E99" s="80" t="str">
        <v/>
      </c>
    </row>
    <row r="100" spans="3:5" ht="36" customHeight="1" x14ac:dyDescent="0.25">
      <c r="C100" s="85" t="str">
        <v/>
      </c>
      <c r="E100" s="80" t="str">
        <v/>
      </c>
    </row>
    <row r="101" spans="3:5" ht="36" customHeight="1" x14ac:dyDescent="0.25">
      <c r="C101" s="85" t="str">
        <v/>
      </c>
      <c r="E101" s="80" t="str">
        <v/>
      </c>
    </row>
    <row r="102" spans="3:5" ht="36" customHeight="1" x14ac:dyDescent="0.25">
      <c r="C102" s="85" t="str">
        <v/>
      </c>
      <c r="E102" s="80" t="str">
        <v/>
      </c>
    </row>
    <row r="103" spans="3:5" ht="36" customHeight="1" x14ac:dyDescent="0.25">
      <c r="C103" s="85" t="str">
        <v/>
      </c>
      <c r="E103" s="80" t="str">
        <v/>
      </c>
    </row>
    <row r="104" spans="3:5" ht="36" customHeight="1" x14ac:dyDescent="0.25">
      <c r="C104" s="85" t="str">
        <v/>
      </c>
      <c r="E104" s="80" t="str">
        <v/>
      </c>
    </row>
    <row r="105" spans="3:5" ht="36" customHeight="1" x14ac:dyDescent="0.25">
      <c r="C105" s="85" t="str">
        <v/>
      </c>
      <c r="E105" s="80" t="str">
        <v/>
      </c>
    </row>
    <row r="106" spans="3:5" ht="36" customHeight="1" x14ac:dyDescent="0.25">
      <c r="C106" s="85" t="str">
        <v/>
      </c>
      <c r="E106" s="80" t="str">
        <v/>
      </c>
    </row>
    <row r="107" spans="3:5" ht="36" customHeight="1" x14ac:dyDescent="0.25">
      <c r="C107" s="85" t="str">
        <v/>
      </c>
      <c r="E107" s="80" t="str">
        <v/>
      </c>
    </row>
    <row r="108" spans="3:5" ht="36" customHeight="1" x14ac:dyDescent="0.25">
      <c r="C108" s="85" t="str">
        <v/>
      </c>
      <c r="E108" s="80" t="str">
        <v/>
      </c>
    </row>
    <row r="109" spans="3:5" ht="36" customHeight="1" x14ac:dyDescent="0.25">
      <c r="C109" s="85" t="str">
        <v/>
      </c>
      <c r="E109" s="80" t="str">
        <v/>
      </c>
    </row>
    <row r="110" spans="3:5" ht="36" customHeight="1" x14ac:dyDescent="0.25">
      <c r="C110" s="85" t="str">
        <v/>
      </c>
      <c r="E110" s="80" t="str">
        <v/>
      </c>
    </row>
    <row r="111" spans="3:5" ht="36" customHeight="1" x14ac:dyDescent="0.25">
      <c r="C111" s="85" t="str">
        <v/>
      </c>
      <c r="E111" s="80" t="str">
        <v/>
      </c>
    </row>
    <row r="112" spans="3:5" ht="36" customHeight="1" x14ac:dyDescent="0.25">
      <c r="C112" s="85" t="str">
        <v/>
      </c>
      <c r="E112" s="80" t="str">
        <v/>
      </c>
    </row>
    <row r="113" spans="3:5" ht="36" customHeight="1" x14ac:dyDescent="0.25">
      <c r="C113" s="85" t="str">
        <v/>
      </c>
      <c r="E113" s="80" t="str">
        <v/>
      </c>
    </row>
    <row r="114" spans="3:5" ht="36" customHeight="1" x14ac:dyDescent="0.25">
      <c r="C114" s="85" t="str">
        <v/>
      </c>
      <c r="E114" s="80" t="str">
        <v/>
      </c>
    </row>
    <row r="115" spans="3:5" ht="36" customHeight="1" x14ac:dyDescent="0.25">
      <c r="C115" s="85" t="str">
        <v/>
      </c>
      <c r="E115" s="80" t="str">
        <v/>
      </c>
    </row>
    <row r="116" spans="3:5" ht="36" customHeight="1" x14ac:dyDescent="0.25">
      <c r="C116" s="85" t="str">
        <v/>
      </c>
      <c r="E116" s="80" t="str">
        <v/>
      </c>
    </row>
    <row r="117" spans="3:5" ht="36" customHeight="1" x14ac:dyDescent="0.25">
      <c r="C117" s="85" t="str">
        <v/>
      </c>
      <c r="E117" s="80" t="str">
        <v/>
      </c>
    </row>
    <row r="118" spans="3:5" ht="36" customHeight="1" x14ac:dyDescent="0.25">
      <c r="C118" s="85" t="str">
        <v/>
      </c>
      <c r="E118" s="80" t="str">
        <v/>
      </c>
    </row>
    <row r="119" spans="3:5" ht="36" customHeight="1" x14ac:dyDescent="0.25">
      <c r="C119" s="85" t="str">
        <v/>
      </c>
      <c r="E119" s="80" t="str">
        <v/>
      </c>
    </row>
    <row r="120" spans="3:5" ht="36" customHeight="1" x14ac:dyDescent="0.25">
      <c r="C120" s="85" t="str">
        <v/>
      </c>
      <c r="E120" s="80" t="str">
        <v/>
      </c>
    </row>
    <row r="121" spans="3:5" ht="36" customHeight="1" x14ac:dyDescent="0.25">
      <c r="C121" s="85" t="str">
        <v/>
      </c>
      <c r="E121" s="80" t="str">
        <v/>
      </c>
    </row>
    <row r="122" spans="3:5" ht="36" customHeight="1" x14ac:dyDescent="0.25">
      <c r="C122" s="85" t="str">
        <v/>
      </c>
      <c r="E122" s="80" t="str">
        <v/>
      </c>
    </row>
    <row r="123" spans="3:5" ht="36" customHeight="1" x14ac:dyDescent="0.25">
      <c r="C123" s="85" t="str">
        <v/>
      </c>
      <c r="E123" s="80" t="str">
        <v/>
      </c>
    </row>
    <row r="124" spans="3:5" ht="36" customHeight="1" x14ac:dyDescent="0.25">
      <c r="C124" s="85" t="str">
        <v/>
      </c>
      <c r="E124" s="80" t="str">
        <v/>
      </c>
    </row>
    <row r="125" spans="3:5" ht="36" customHeight="1" x14ac:dyDescent="0.25">
      <c r="C125" s="85" t="str">
        <v/>
      </c>
      <c r="E125" s="80" t="str">
        <v/>
      </c>
    </row>
    <row r="126" spans="3:5" ht="36" customHeight="1" x14ac:dyDescent="0.25">
      <c r="C126" s="85" t="str">
        <v/>
      </c>
      <c r="E126" s="80" t="str">
        <v/>
      </c>
    </row>
    <row r="127" spans="3:5" ht="36" customHeight="1" x14ac:dyDescent="0.25">
      <c r="C127" s="85" t="str">
        <v/>
      </c>
      <c r="E127" s="80" t="str">
        <v/>
      </c>
    </row>
    <row r="128" spans="3:5" ht="36" customHeight="1" x14ac:dyDescent="0.25">
      <c r="C128" s="85" t="str">
        <v/>
      </c>
      <c r="E128" s="80" t="str">
        <v/>
      </c>
    </row>
    <row r="129" spans="3:5" ht="36" customHeight="1" x14ac:dyDescent="0.25">
      <c r="C129" s="85" t="str">
        <v/>
      </c>
      <c r="E129" s="80" t="str">
        <v/>
      </c>
    </row>
    <row r="130" spans="3:5" ht="36" customHeight="1" x14ac:dyDescent="0.25">
      <c r="C130" s="85" t="str">
        <v/>
      </c>
      <c r="E130" s="80" t="str">
        <v/>
      </c>
    </row>
    <row r="131" spans="3:5" ht="36" customHeight="1" x14ac:dyDescent="0.25">
      <c r="C131" s="85" t="str">
        <v/>
      </c>
      <c r="E131" s="80" t="str">
        <v/>
      </c>
    </row>
    <row r="132" spans="3:5" ht="36" customHeight="1" x14ac:dyDescent="0.25">
      <c r="C132" s="85" t="str">
        <v/>
      </c>
      <c r="E132" s="80" t="str">
        <v/>
      </c>
    </row>
    <row r="133" spans="3:5" ht="36" customHeight="1" x14ac:dyDescent="0.25">
      <c r="C133" s="85" t="str">
        <v/>
      </c>
      <c r="E133" s="80" t="str">
        <v/>
      </c>
    </row>
    <row r="134" spans="3:5" ht="36" customHeight="1" x14ac:dyDescent="0.25">
      <c r="C134" s="85" t="str">
        <v/>
      </c>
      <c r="E134" s="80" t="str">
        <v/>
      </c>
    </row>
    <row r="135" spans="3:5" ht="36" customHeight="1" x14ac:dyDescent="0.25">
      <c r="C135" s="85" t="str">
        <v/>
      </c>
      <c r="E135" s="80" t="str">
        <v/>
      </c>
    </row>
    <row r="136" spans="3:5" ht="36" customHeight="1" x14ac:dyDescent="0.25">
      <c r="C136" s="85" t="str">
        <v/>
      </c>
      <c r="E136" s="80" t="str">
        <v/>
      </c>
    </row>
    <row r="137" spans="3:5" ht="36" customHeight="1" x14ac:dyDescent="0.25">
      <c r="C137" s="85" t="str">
        <v/>
      </c>
      <c r="E137" s="80" t="str">
        <v/>
      </c>
    </row>
    <row r="138" spans="3:5" ht="36" customHeight="1" x14ac:dyDescent="0.25">
      <c r="C138" s="85" t="str">
        <v/>
      </c>
      <c r="E138" s="80" t="str">
        <v/>
      </c>
    </row>
    <row r="139" spans="3:5" ht="36" customHeight="1" x14ac:dyDescent="0.25">
      <c r="C139" s="85" t="str">
        <v/>
      </c>
      <c r="E139" s="80" t="str">
        <v/>
      </c>
    </row>
    <row r="140" spans="3:5" ht="36" customHeight="1" x14ac:dyDescent="0.25">
      <c r="C140" s="85" t="str">
        <v/>
      </c>
      <c r="E140" s="80" t="str">
        <v/>
      </c>
    </row>
    <row r="141" spans="3:5" ht="36" customHeight="1" x14ac:dyDescent="0.25">
      <c r="C141" s="85" t="str">
        <v/>
      </c>
      <c r="E141" s="80" t="str">
        <v/>
      </c>
    </row>
    <row r="142" spans="3:5" ht="36" customHeight="1" x14ac:dyDescent="0.25">
      <c r="C142" s="85" t="str">
        <v/>
      </c>
      <c r="E142" s="80" t="str">
        <v/>
      </c>
    </row>
    <row r="143" spans="3:5" ht="36" customHeight="1" x14ac:dyDescent="0.25">
      <c r="C143" s="85" t="str">
        <v/>
      </c>
      <c r="E143" s="80" t="str">
        <v/>
      </c>
    </row>
    <row r="144" spans="3:5" ht="36" customHeight="1" x14ac:dyDescent="0.25">
      <c r="C144" s="85" t="str">
        <v/>
      </c>
      <c r="E144" s="80" t="str">
        <v/>
      </c>
    </row>
    <row r="145" spans="3:5" ht="36" customHeight="1" x14ac:dyDescent="0.25">
      <c r="C145" s="85" t="str">
        <v/>
      </c>
      <c r="E145" s="80" t="str">
        <v/>
      </c>
    </row>
    <row r="146" spans="3:5" ht="36" customHeight="1" x14ac:dyDescent="0.25">
      <c r="C146" s="85" t="str">
        <v/>
      </c>
      <c r="E146" s="80" t="str">
        <v/>
      </c>
    </row>
    <row r="147" spans="3:5" ht="36" customHeight="1" x14ac:dyDescent="0.25">
      <c r="C147" s="85" t="str">
        <v/>
      </c>
      <c r="E147" s="80" t="str">
        <v/>
      </c>
    </row>
    <row r="148" spans="3:5" ht="36" customHeight="1" x14ac:dyDescent="0.25">
      <c r="C148" s="85" t="str">
        <v/>
      </c>
      <c r="E148" s="80" t="str">
        <v/>
      </c>
    </row>
    <row r="149" spans="3:5" ht="36" customHeight="1" x14ac:dyDescent="0.25">
      <c r="C149" s="85" t="str">
        <v/>
      </c>
      <c r="E149" s="80" t="str">
        <v/>
      </c>
    </row>
    <row r="150" spans="3:5" ht="36" customHeight="1" x14ac:dyDescent="0.25">
      <c r="C150" s="85" t="str">
        <v/>
      </c>
      <c r="E150" s="80" t="str">
        <v/>
      </c>
    </row>
    <row r="151" spans="3:5" ht="36" customHeight="1" x14ac:dyDescent="0.25">
      <c r="C151" s="85" t="str">
        <v/>
      </c>
      <c r="E151" s="80" t="str">
        <v/>
      </c>
    </row>
    <row r="152" spans="3:5" ht="36" customHeight="1" x14ac:dyDescent="0.25">
      <c r="C152" s="85" t="str">
        <v/>
      </c>
      <c r="E152" s="80" t="str">
        <v/>
      </c>
    </row>
    <row r="153" spans="3:5" ht="36" customHeight="1" x14ac:dyDescent="0.25">
      <c r="C153" s="85" t="str">
        <v/>
      </c>
      <c r="E153" s="80" t="str">
        <v/>
      </c>
    </row>
    <row r="154" spans="3:5" ht="36" customHeight="1" x14ac:dyDescent="0.25">
      <c r="C154" s="85" t="str">
        <v/>
      </c>
      <c r="E154" s="80" t="str">
        <v/>
      </c>
    </row>
    <row r="155" spans="3:5" ht="36" customHeight="1" x14ac:dyDescent="0.25">
      <c r="C155" s="85" t="str">
        <v/>
      </c>
      <c r="E155" s="80" t="str">
        <v/>
      </c>
    </row>
    <row r="156" spans="3:5" ht="36" customHeight="1" x14ac:dyDescent="0.25">
      <c r="C156" s="85" t="str">
        <v/>
      </c>
      <c r="E156" s="80" t="str">
        <v/>
      </c>
    </row>
    <row r="157" spans="3:5" ht="36" customHeight="1" x14ac:dyDescent="0.25">
      <c r="C157" s="85" t="str">
        <v/>
      </c>
      <c r="E157" s="80" t="str">
        <v/>
      </c>
    </row>
    <row r="158" spans="3:5" ht="36" customHeight="1" x14ac:dyDescent="0.25">
      <c r="C158" s="85" t="str">
        <v/>
      </c>
      <c r="E158" s="80" t="str">
        <v/>
      </c>
    </row>
    <row r="159" spans="3:5" ht="36" customHeight="1" x14ac:dyDescent="0.25">
      <c r="C159" s="85" t="str">
        <v/>
      </c>
      <c r="E159" s="80" t="str">
        <v/>
      </c>
    </row>
    <row r="160" spans="3:5" ht="36" customHeight="1" x14ac:dyDescent="0.25">
      <c r="C160" s="85" t="str">
        <v/>
      </c>
      <c r="E160" s="80" t="str">
        <v/>
      </c>
    </row>
    <row r="161" spans="3:5" ht="36" customHeight="1" x14ac:dyDescent="0.25">
      <c r="C161" s="85" t="str">
        <v/>
      </c>
      <c r="E161" s="80" t="str">
        <v/>
      </c>
    </row>
    <row r="162" spans="3:5" ht="36" customHeight="1" x14ac:dyDescent="0.25">
      <c r="C162" s="85" t="str">
        <v/>
      </c>
      <c r="E162" s="80" t="str">
        <v/>
      </c>
    </row>
    <row r="163" spans="3:5" ht="36" customHeight="1" x14ac:dyDescent="0.25">
      <c r="C163" s="85" t="str">
        <v/>
      </c>
      <c r="E163" s="80" t="str">
        <v/>
      </c>
    </row>
    <row r="164" spans="3:5" ht="36" customHeight="1" x14ac:dyDescent="0.25">
      <c r="C164" s="85" t="str">
        <v/>
      </c>
      <c r="E164" s="80" t="str">
        <v/>
      </c>
    </row>
    <row r="165" spans="3:5" ht="36" customHeight="1" x14ac:dyDescent="0.25">
      <c r="C165" s="85" t="str">
        <v/>
      </c>
      <c r="E165" s="80" t="str">
        <v/>
      </c>
    </row>
    <row r="166" spans="3:5" ht="36" customHeight="1" x14ac:dyDescent="0.25">
      <c r="C166" s="85" t="str">
        <v/>
      </c>
      <c r="E166" s="80" t="str">
        <v/>
      </c>
    </row>
    <row r="167" spans="3:5" ht="36" customHeight="1" x14ac:dyDescent="0.25">
      <c r="C167" s="85" t="str">
        <v/>
      </c>
      <c r="E167" s="80" t="str">
        <v/>
      </c>
    </row>
    <row r="168" spans="3:5" ht="36" customHeight="1" x14ac:dyDescent="0.25">
      <c r="C168" s="85" t="str">
        <v/>
      </c>
      <c r="E168" s="80" t="str">
        <v/>
      </c>
    </row>
    <row r="169" spans="3:5" ht="36" customHeight="1" x14ac:dyDescent="0.25">
      <c r="C169" s="85" t="str">
        <v/>
      </c>
      <c r="E169" s="80" t="str">
        <v/>
      </c>
    </row>
    <row r="170" spans="3:5" ht="36" customHeight="1" x14ac:dyDescent="0.25">
      <c r="C170" s="85" t="str">
        <v/>
      </c>
      <c r="E170" s="80" t="str">
        <v/>
      </c>
    </row>
    <row r="171" spans="3:5" ht="36" customHeight="1" x14ac:dyDescent="0.25">
      <c r="C171" s="85" t="str">
        <v/>
      </c>
      <c r="E171" s="80" t="str">
        <v/>
      </c>
    </row>
    <row r="172" spans="3:5" ht="36" customHeight="1" x14ac:dyDescent="0.25">
      <c r="C172" s="85" t="str">
        <v/>
      </c>
      <c r="E172" s="80" t="str">
        <v/>
      </c>
    </row>
    <row r="173" spans="3:5" ht="36" customHeight="1" x14ac:dyDescent="0.25">
      <c r="C173" s="85" t="str">
        <v/>
      </c>
      <c r="E173" s="80" t="str">
        <v/>
      </c>
    </row>
    <row r="174" spans="3:5" ht="36" customHeight="1" x14ac:dyDescent="0.25">
      <c r="C174" s="85" t="str">
        <v/>
      </c>
      <c r="E174" s="80" t="str">
        <v/>
      </c>
    </row>
    <row r="175" spans="3:5" ht="36" customHeight="1" x14ac:dyDescent="0.25">
      <c r="C175" s="85" t="str">
        <v/>
      </c>
      <c r="E175" s="80" t="str">
        <v/>
      </c>
    </row>
    <row r="176" spans="3:5" ht="36" customHeight="1" x14ac:dyDescent="0.25">
      <c r="C176" s="85" t="str">
        <v/>
      </c>
      <c r="E176" s="80" t="str">
        <v/>
      </c>
    </row>
    <row r="177" spans="3:5" ht="36" customHeight="1" x14ac:dyDescent="0.25">
      <c r="C177" s="85" t="str">
        <v/>
      </c>
      <c r="E177" s="80" t="str">
        <v/>
      </c>
    </row>
    <row r="178" spans="3:5" ht="36" customHeight="1" x14ac:dyDescent="0.25">
      <c r="C178" s="85" t="str">
        <v/>
      </c>
      <c r="E178" s="80" t="str">
        <v/>
      </c>
    </row>
    <row r="179" spans="3:5" ht="36" customHeight="1" x14ac:dyDescent="0.25">
      <c r="C179" s="85" t="str">
        <v/>
      </c>
      <c r="E179" s="80" t="str">
        <v/>
      </c>
    </row>
    <row r="180" spans="3:5" ht="36" customHeight="1" x14ac:dyDescent="0.25">
      <c r="C180" s="85" t="str">
        <v/>
      </c>
      <c r="E180" s="80" t="str">
        <v/>
      </c>
    </row>
    <row r="181" spans="3:5" ht="36" customHeight="1" x14ac:dyDescent="0.25">
      <c r="C181" s="85" t="str">
        <v/>
      </c>
      <c r="E181" s="80" t="str">
        <v/>
      </c>
    </row>
    <row r="182" spans="3:5" ht="36" customHeight="1" x14ac:dyDescent="0.25">
      <c r="C182" s="85" t="str">
        <v/>
      </c>
      <c r="E182" s="80" t="str">
        <v/>
      </c>
    </row>
    <row r="183" spans="3:5" ht="36" customHeight="1" x14ac:dyDescent="0.25">
      <c r="C183" s="85" t="str">
        <v/>
      </c>
      <c r="E183" s="80" t="str">
        <v/>
      </c>
    </row>
    <row r="184" spans="3:5" ht="36" customHeight="1" x14ac:dyDescent="0.25">
      <c r="C184" s="85" t="str">
        <v/>
      </c>
      <c r="E184" s="80" t="str">
        <v/>
      </c>
    </row>
    <row r="185" spans="3:5" ht="36" customHeight="1" x14ac:dyDescent="0.25">
      <c r="C185" s="85" t="str">
        <v/>
      </c>
      <c r="E185" s="80" t="str">
        <v/>
      </c>
    </row>
    <row r="186" spans="3:5" ht="36" customHeight="1" x14ac:dyDescent="0.25">
      <c r="C186" s="85" t="str">
        <v/>
      </c>
      <c r="E186" s="80" t="str">
        <v/>
      </c>
    </row>
    <row r="187" spans="3:5" ht="36" customHeight="1" x14ac:dyDescent="0.25">
      <c r="C187" s="85" t="str">
        <v/>
      </c>
      <c r="E187" s="80" t="str">
        <v/>
      </c>
    </row>
    <row r="188" spans="3:5" ht="36" customHeight="1" x14ac:dyDescent="0.25">
      <c r="C188" s="85" t="str">
        <v/>
      </c>
      <c r="E188" s="80" t="str">
        <v/>
      </c>
    </row>
    <row r="189" spans="3:5" ht="36" customHeight="1" x14ac:dyDescent="0.25">
      <c r="C189" s="85" t="str">
        <v/>
      </c>
      <c r="E189" s="80" t="str">
        <v/>
      </c>
    </row>
    <row r="190" spans="3:5" ht="36" customHeight="1" x14ac:dyDescent="0.25">
      <c r="C190" s="85" t="str">
        <v/>
      </c>
      <c r="E190" s="80" t="str">
        <v/>
      </c>
    </row>
    <row r="191" spans="3:5" ht="36" customHeight="1" x14ac:dyDescent="0.25">
      <c r="C191" s="85" t="str">
        <v/>
      </c>
      <c r="E191" s="80" t="str">
        <v/>
      </c>
    </row>
    <row r="192" spans="3:5" ht="36" customHeight="1" x14ac:dyDescent="0.25">
      <c r="C192" s="85" t="str">
        <v/>
      </c>
      <c r="E192" s="80" t="str">
        <v/>
      </c>
    </row>
    <row r="193" spans="3:5" ht="36" customHeight="1" x14ac:dyDescent="0.25">
      <c r="C193" s="85" t="str">
        <v/>
      </c>
      <c r="E193" s="80" t="str">
        <v/>
      </c>
    </row>
    <row r="194" spans="3:5" ht="36" customHeight="1" x14ac:dyDescent="0.25">
      <c r="C194" s="85" t="str">
        <v/>
      </c>
      <c r="E194" s="80" t="str">
        <v/>
      </c>
    </row>
    <row r="195" spans="3:5" ht="36" customHeight="1" x14ac:dyDescent="0.25">
      <c r="C195" s="85" t="str">
        <v/>
      </c>
      <c r="E195" s="80" t="str">
        <v/>
      </c>
    </row>
    <row r="196" spans="3:5" ht="36" customHeight="1" x14ac:dyDescent="0.25">
      <c r="C196" s="85" t="str">
        <v/>
      </c>
      <c r="E196" s="80" t="str">
        <v/>
      </c>
    </row>
    <row r="197" spans="3:5" ht="36" customHeight="1" x14ac:dyDescent="0.25">
      <c r="C197" s="85" t="str">
        <v/>
      </c>
      <c r="E197" s="80" t="str">
        <v/>
      </c>
    </row>
    <row r="198" spans="3:5" ht="36" customHeight="1" x14ac:dyDescent="0.25">
      <c r="C198" s="85" t="str">
        <v/>
      </c>
      <c r="E198" s="80" t="str">
        <v/>
      </c>
    </row>
    <row r="199" spans="3:5" ht="36" customHeight="1" x14ac:dyDescent="0.25">
      <c r="C199" s="85" t="str">
        <v/>
      </c>
      <c r="E199" s="80" t="str">
        <v/>
      </c>
    </row>
    <row r="200" spans="3:5" ht="36" customHeight="1" x14ac:dyDescent="0.25">
      <c r="C200" s="85" t="str">
        <v/>
      </c>
      <c r="E200" s="80" t="str">
        <v/>
      </c>
    </row>
  </sheetData>
  <conditionalFormatting sqref="A5:F200">
    <cfRule type="expression" dxfId="132" priority="1">
      <formula>$A5&lt;&gt;""</formula>
    </cfRule>
  </conditionalFormatting>
  <printOptions horizontalCentered="1"/>
  <pageMargins left="0.25" right="0.25" top="0.5" bottom="0.25" header="0.25" footer="0.25"/>
  <pageSetup fitToWidth="0"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73B1263E-D440-4E59-867A-2E56BAEFBE18}">
          <x14:formula1>
            <xm:f>settings!$H$1:$H$5</xm:f>
          </x14:formula1>
          <xm:sqref>J5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CBE70-AC49-447F-86EF-436D128756C1}">
  <sheetPr codeName="Sheet17">
    <tabColor rgb="FFFFC000"/>
  </sheetPr>
  <dimension ref="A1:BH43"/>
  <sheetViews>
    <sheetView zoomScale="85" zoomScaleNormal="85" workbookViewId="0">
      <selection activeCell="N27" sqref="N27:P27"/>
    </sheetView>
  </sheetViews>
  <sheetFormatPr defaultColWidth="3.140625" defaultRowHeight="18" customHeight="1" x14ac:dyDescent="0.25"/>
  <cols>
    <col min="1" max="1" width="3.140625" style="89" customWidth="1"/>
    <col min="2" max="17" width="3.140625" style="88" customWidth="1"/>
    <col min="18" max="21" width="3.140625" style="90" customWidth="1"/>
    <col min="22" max="32" width="3.140625" style="88" customWidth="1"/>
    <col min="33" max="33" width="5.85546875" style="88" customWidth="1"/>
    <col min="34" max="34" width="14.28515625" style="88" bestFit="1" customWidth="1"/>
    <col min="35" max="35" width="4.140625" style="88" bestFit="1" customWidth="1"/>
    <col min="36" max="36" width="15.5703125" style="88" bestFit="1" customWidth="1"/>
    <col min="37" max="37" width="12.85546875" style="88" bestFit="1" customWidth="1"/>
    <col min="38" max="38" width="16.5703125" style="88" bestFit="1" customWidth="1"/>
    <col min="39" max="39" width="14" style="88" bestFit="1" customWidth="1"/>
    <col min="40" max="40" width="7.7109375" style="88" bestFit="1" customWidth="1"/>
    <col min="41" max="41" width="10.7109375" style="88" bestFit="1" customWidth="1"/>
    <col min="42" max="42" width="5.7109375" style="88" bestFit="1" customWidth="1"/>
    <col min="43" max="43" width="22.42578125" style="88" customWidth="1"/>
    <col min="44" max="44" width="20.5703125" style="88" bestFit="1" customWidth="1"/>
    <col min="45" max="60" width="6" style="88" hidden="1" customWidth="1"/>
    <col min="61" max="16384" width="3.140625" style="88"/>
  </cols>
  <sheetData>
    <row r="1" spans="1:40" ht="18" customHeight="1" x14ac:dyDescent="0.25">
      <c r="A1" s="88"/>
      <c r="R1" s="88"/>
      <c r="S1" s="88"/>
      <c r="T1" s="88"/>
      <c r="U1" s="88"/>
    </row>
    <row r="2" spans="1:40" ht="18" customHeight="1" x14ac:dyDescent="0.25">
      <c r="A2" s="177"/>
      <c r="B2" s="91"/>
      <c r="C2" s="91"/>
      <c r="D2" s="91"/>
      <c r="E2" s="91"/>
      <c r="F2" s="91"/>
      <c r="R2" s="88"/>
      <c r="S2" s="88"/>
      <c r="T2" s="88"/>
      <c r="U2" s="88"/>
      <c r="AC2" s="91"/>
      <c r="AD2" s="91"/>
      <c r="AE2" s="91"/>
      <c r="AF2" s="177"/>
    </row>
    <row r="3" spans="1:40" ht="18" customHeight="1" x14ac:dyDescent="0.25">
      <c r="A3" s="177"/>
      <c r="B3" s="91"/>
      <c r="C3" s="91"/>
      <c r="D3" s="91"/>
      <c r="E3" s="91"/>
      <c r="F3" s="91"/>
      <c r="R3" s="88"/>
      <c r="S3" s="88"/>
      <c r="T3" s="88"/>
      <c r="U3" s="88"/>
      <c r="AC3" s="91"/>
      <c r="AD3" s="91"/>
      <c r="AE3" s="91"/>
      <c r="AF3" s="177"/>
      <c r="AG3" s="86"/>
      <c r="AH3" s="86"/>
      <c r="AL3" s="86"/>
      <c r="AM3" s="86"/>
      <c r="AN3" s="86"/>
    </row>
    <row r="4" spans="1:40" ht="18" customHeight="1" x14ac:dyDescent="0.25">
      <c r="A4" s="177"/>
      <c r="B4" s="91"/>
      <c r="C4" s="91"/>
      <c r="D4" s="91"/>
      <c r="E4" s="91"/>
      <c r="F4" s="91"/>
      <c r="R4" s="88"/>
      <c r="S4" s="88"/>
      <c r="T4" s="88"/>
      <c r="U4" s="88"/>
      <c r="AC4" s="91"/>
      <c r="AD4" s="91"/>
      <c r="AE4" s="91"/>
      <c r="AF4" s="177"/>
      <c r="AH4"/>
      <c r="AL4"/>
    </row>
    <row r="5" spans="1:40" ht="18" customHeight="1" x14ac:dyDescent="0.25">
      <c r="A5" s="177"/>
      <c r="B5" s="177"/>
      <c r="C5" s="177"/>
      <c r="D5" s="177"/>
      <c r="E5" s="177"/>
      <c r="F5" s="177"/>
      <c r="R5" s="88"/>
      <c r="S5" s="88"/>
      <c r="T5" s="88"/>
      <c r="U5" s="88"/>
      <c r="AC5" s="93"/>
      <c r="AD5" s="93"/>
      <c r="AE5" s="93"/>
      <c r="AF5" s="177"/>
      <c r="AH5"/>
      <c r="AJ5" s="113"/>
      <c r="AL5"/>
    </row>
    <row r="6" spans="1:40" ht="18" customHeight="1" x14ac:dyDescent="0.25">
      <c r="A6" s="177"/>
      <c r="B6" s="177"/>
      <c r="C6" s="177"/>
      <c r="D6" s="177"/>
      <c r="E6" s="177"/>
      <c r="F6" s="177"/>
      <c r="R6" s="88"/>
      <c r="S6" s="88"/>
      <c r="T6" s="88"/>
      <c r="U6" s="88"/>
      <c r="AC6" s="93"/>
      <c r="AD6" s="93"/>
      <c r="AE6" s="93"/>
      <c r="AF6" s="177"/>
      <c r="AH6"/>
      <c r="AJ6" s="113"/>
      <c r="AL6"/>
    </row>
    <row r="7" spans="1:40" ht="18" customHeight="1" x14ac:dyDescent="0.25">
      <c r="A7" s="177"/>
      <c r="B7" s="177"/>
      <c r="C7" s="177"/>
      <c r="D7" s="177"/>
      <c r="E7" s="177"/>
      <c r="F7" s="177"/>
      <c r="G7" s="177"/>
      <c r="H7" s="177"/>
      <c r="I7" s="177"/>
      <c r="J7" s="177"/>
      <c r="L7" s="177"/>
      <c r="M7" s="177"/>
      <c r="N7" s="91"/>
      <c r="O7" s="91"/>
      <c r="P7" s="91"/>
      <c r="Q7" s="91"/>
      <c r="R7" s="91"/>
      <c r="S7" s="91"/>
      <c r="T7" s="91"/>
      <c r="U7" s="91"/>
      <c r="V7" s="91"/>
      <c r="W7" s="91"/>
      <c r="X7" s="91"/>
      <c r="Y7" s="91"/>
      <c r="Z7" s="91"/>
      <c r="AA7" s="93"/>
      <c r="AB7" s="93"/>
      <c r="AC7" s="93"/>
      <c r="AD7" s="93"/>
      <c r="AE7" s="93"/>
      <c r="AF7" s="177"/>
      <c r="AH7"/>
      <c r="AJ7" s="113"/>
      <c r="AL7"/>
    </row>
    <row r="8" spans="1:40" ht="18" customHeight="1" x14ac:dyDescent="0.25">
      <c r="A8" s="177"/>
      <c r="B8" s="177"/>
      <c r="C8" s="177"/>
      <c r="D8" s="177"/>
      <c r="E8" s="177"/>
      <c r="F8" s="177"/>
      <c r="G8" s="177"/>
      <c r="H8" s="177"/>
      <c r="I8" s="177"/>
      <c r="J8" s="177"/>
      <c r="V8" s="91"/>
      <c r="W8" s="91"/>
      <c r="X8" s="91"/>
      <c r="Y8" s="91"/>
      <c r="Z8" s="91"/>
      <c r="AA8" s="93"/>
      <c r="AB8" s="93"/>
      <c r="AC8" s="93"/>
      <c r="AD8" s="93"/>
      <c r="AE8" s="93"/>
      <c r="AF8" s="177"/>
      <c r="AH8"/>
      <c r="AJ8" s="113"/>
      <c r="AL8"/>
    </row>
    <row r="9" spans="1:40" ht="18" customHeight="1" x14ac:dyDescent="0.25">
      <c r="A9" s="177"/>
      <c r="B9" s="177"/>
      <c r="C9" s="177"/>
      <c r="D9" s="177"/>
      <c r="E9" s="177"/>
      <c r="F9" s="177"/>
      <c r="G9" s="177"/>
      <c r="H9" s="177"/>
      <c r="I9" s="177"/>
      <c r="J9" s="177"/>
      <c r="V9" s="91"/>
      <c r="W9" s="91"/>
      <c r="X9" s="91"/>
      <c r="Y9" s="91"/>
      <c r="Z9" s="91"/>
      <c r="AA9" s="93"/>
      <c r="AB9" s="93"/>
      <c r="AC9" s="93"/>
      <c r="AD9" s="93"/>
      <c r="AE9" s="93"/>
      <c r="AF9" s="177"/>
      <c r="AH9"/>
      <c r="AJ9" s="113"/>
      <c r="AL9"/>
    </row>
    <row r="10" spans="1:40" ht="18" customHeight="1" x14ac:dyDescent="0.25">
      <c r="A10" s="177"/>
      <c r="B10" s="177"/>
      <c r="C10" s="177"/>
      <c r="D10" s="177"/>
      <c r="E10" s="177"/>
      <c r="F10" s="177"/>
      <c r="G10" s="177"/>
      <c r="H10" s="177"/>
      <c r="I10" s="177"/>
      <c r="R10" s="88"/>
      <c r="S10" s="88"/>
      <c r="T10" s="88"/>
      <c r="U10" s="88"/>
      <c r="X10" s="91"/>
      <c r="Y10" s="91"/>
      <c r="Z10" s="91"/>
      <c r="AA10" s="93"/>
      <c r="AB10" s="93"/>
      <c r="AC10" s="93"/>
      <c r="AD10" s="93"/>
      <c r="AE10" s="93"/>
      <c r="AF10" s="177"/>
      <c r="AH10"/>
      <c r="AJ10" s="113"/>
      <c r="AL10"/>
    </row>
    <row r="11" spans="1:40" ht="18" customHeight="1" x14ac:dyDescent="0.25">
      <c r="A11" s="177"/>
      <c r="B11" s="177"/>
      <c r="C11" s="177"/>
      <c r="D11" s="177"/>
      <c r="E11" s="177"/>
      <c r="F11" s="177"/>
      <c r="G11" s="177"/>
      <c r="H11" s="177"/>
      <c r="I11" s="177"/>
      <c r="R11" s="88"/>
      <c r="S11" s="88"/>
      <c r="T11" s="88"/>
      <c r="U11" s="88"/>
      <c r="X11" s="93"/>
      <c r="Y11" s="93"/>
      <c r="Z11" s="93"/>
      <c r="AA11" s="93"/>
      <c r="AB11" s="93"/>
      <c r="AC11" s="93"/>
      <c r="AD11" s="93"/>
      <c r="AE11" s="93"/>
      <c r="AF11" s="177"/>
      <c r="AH11"/>
      <c r="AJ11" s="113"/>
      <c r="AL11"/>
    </row>
    <row r="12" spans="1:40" ht="18" customHeight="1" x14ac:dyDescent="0.25">
      <c r="A12" s="177"/>
      <c r="B12" s="177"/>
      <c r="C12" s="177"/>
      <c r="D12" s="177"/>
      <c r="E12" s="177"/>
      <c r="R12" s="88"/>
      <c r="S12" s="88"/>
      <c r="T12" s="88"/>
      <c r="U12" s="88"/>
      <c r="X12" s="92"/>
      <c r="Y12" s="92"/>
      <c r="Z12" s="92"/>
      <c r="AA12" s="92"/>
      <c r="AB12" s="92"/>
      <c r="AC12" s="93"/>
      <c r="AD12" s="93"/>
      <c r="AE12" s="93"/>
      <c r="AF12" s="177"/>
      <c r="AH12"/>
      <c r="AJ12" s="113"/>
      <c r="AL12"/>
    </row>
    <row r="13" spans="1:40" ht="18" customHeight="1" x14ac:dyDescent="0.25">
      <c r="A13" s="177"/>
      <c r="B13" s="177"/>
      <c r="C13" s="177"/>
      <c r="D13" s="177"/>
      <c r="E13" s="177"/>
      <c r="G13" s="92"/>
      <c r="H13" s="92"/>
      <c r="I13" s="92"/>
      <c r="R13" s="88"/>
      <c r="S13" s="88"/>
      <c r="T13" s="88"/>
      <c r="U13" s="88"/>
      <c r="X13" s="92"/>
      <c r="Y13" s="92"/>
      <c r="Z13" s="92"/>
      <c r="AA13" s="92"/>
      <c r="AB13" s="92"/>
      <c r="AC13" s="93"/>
      <c r="AD13" s="93"/>
      <c r="AE13" s="93"/>
      <c r="AF13" s="177"/>
      <c r="AH13" t="s">
        <v>1301</v>
      </c>
      <c r="AJ13" s="113"/>
      <c r="AL13"/>
    </row>
    <row r="14" spans="1:40" ht="18" customHeight="1" x14ac:dyDescent="0.25">
      <c r="G14" s="92"/>
      <c r="H14" s="92"/>
      <c r="I14" s="92"/>
      <c r="Y14" s="92"/>
      <c r="Z14" s="92"/>
      <c r="AA14" s="92"/>
      <c r="AB14" s="92"/>
      <c r="AH14"/>
      <c r="AJ14" s="113"/>
      <c r="AL14"/>
    </row>
    <row r="15" spans="1:40" ht="18" customHeight="1" x14ac:dyDescent="0.25">
      <c r="J15" s="247" t="s">
        <v>1240</v>
      </c>
      <c r="K15" s="247"/>
      <c r="L15" s="247"/>
      <c r="M15" s="247"/>
      <c r="N15" s="247"/>
      <c r="O15" s="247"/>
      <c r="P15" s="247"/>
      <c r="Q15" s="247"/>
      <c r="R15" s="247"/>
      <c r="S15" s="247"/>
      <c r="T15" s="247"/>
      <c r="U15" s="247"/>
      <c r="V15" s="247"/>
      <c r="W15" s="247"/>
      <c r="AH15"/>
      <c r="AJ15" s="113"/>
      <c r="AL15"/>
    </row>
    <row r="16" spans="1:40" ht="18" customHeight="1" x14ac:dyDescent="0.25">
      <c r="A16" s="177"/>
      <c r="B16" s="177"/>
      <c r="C16" s="177"/>
      <c r="D16" s="177"/>
      <c r="E16" s="177"/>
      <c r="G16" s="177"/>
      <c r="H16" s="177"/>
      <c r="I16" s="177"/>
      <c r="K16" s="242" t="s">
        <v>1302</v>
      </c>
      <c r="L16" s="242"/>
      <c r="M16" s="242"/>
      <c r="N16" s="242"/>
      <c r="O16" s="242"/>
      <c r="P16" s="242"/>
      <c r="Q16" s="242"/>
      <c r="R16" s="242"/>
      <c r="S16" s="242"/>
      <c r="T16" s="242"/>
      <c r="U16" s="242"/>
      <c r="V16" s="242"/>
      <c r="Y16" s="93"/>
      <c r="Z16" s="93"/>
      <c r="AA16" s="93"/>
      <c r="AB16" s="93"/>
      <c r="AC16" s="93"/>
      <c r="AD16" s="93"/>
      <c r="AE16" s="93"/>
      <c r="AF16" s="177"/>
      <c r="AH16"/>
      <c r="AJ16" s="113"/>
      <c r="AL16"/>
    </row>
    <row r="17" spans="1:60" ht="17.25" customHeight="1" x14ac:dyDescent="0.25">
      <c r="A17" s="177"/>
      <c r="B17" s="177"/>
      <c r="C17" s="177"/>
      <c r="D17" s="177"/>
      <c r="E17" s="177"/>
      <c r="G17" s="177"/>
      <c r="H17" s="177"/>
      <c r="I17" s="177"/>
      <c r="J17" s="177"/>
      <c r="K17" s="177"/>
      <c r="L17" s="177"/>
      <c r="M17" s="177"/>
      <c r="N17" s="242" t="s">
        <v>1303</v>
      </c>
      <c r="O17" s="242"/>
      <c r="P17" s="242"/>
      <c r="Q17" s="242"/>
      <c r="R17" s="242"/>
      <c r="S17" s="242"/>
      <c r="T17" s="177"/>
      <c r="U17" s="177"/>
      <c r="V17" s="93"/>
      <c r="W17" s="93"/>
      <c r="Y17" s="93"/>
      <c r="Z17" s="93"/>
      <c r="AA17" s="93"/>
      <c r="AB17" s="93"/>
      <c r="AC17" s="93"/>
      <c r="AD17" s="93"/>
      <c r="AE17" s="93"/>
      <c r="AF17" s="177"/>
      <c r="AH17"/>
      <c r="AJ17" s="113"/>
      <c r="AL17"/>
    </row>
    <row r="18" spans="1:60" ht="18" customHeight="1" x14ac:dyDescent="0.25">
      <c r="A18" s="177"/>
      <c r="B18" s="177"/>
      <c r="C18" s="177"/>
      <c r="D18" s="177"/>
      <c r="E18" s="177"/>
      <c r="J18" s="177"/>
      <c r="K18" s="177"/>
      <c r="L18" s="177"/>
      <c r="M18" s="177"/>
      <c r="N18" s="250" t="s">
        <v>1304</v>
      </c>
      <c r="O18" s="250"/>
      <c r="P18" s="250"/>
      <c r="Q18" s="250"/>
      <c r="R18" s="250"/>
      <c r="S18" s="250"/>
      <c r="T18" s="177"/>
      <c r="U18" s="177"/>
      <c r="V18" s="93"/>
      <c r="W18" s="93"/>
      <c r="AB18" s="93"/>
      <c r="AC18" s="93"/>
      <c r="AD18" s="93"/>
      <c r="AE18" s="93"/>
      <c r="AF18" s="177"/>
      <c r="AH18"/>
      <c r="AJ18" s="113"/>
      <c r="AL18"/>
    </row>
    <row r="19" spans="1:60" ht="18" customHeight="1" x14ac:dyDescent="0.25">
      <c r="A19" s="177"/>
      <c r="B19" s="177"/>
      <c r="C19" s="177"/>
      <c r="D19" s="177"/>
      <c r="E19" s="177"/>
      <c r="J19" s="177"/>
      <c r="K19" s="177"/>
      <c r="L19" s="177"/>
      <c r="M19" s="177"/>
      <c r="N19" s="178"/>
      <c r="O19" s="178"/>
      <c r="P19" s="178"/>
      <c r="Q19" s="178"/>
      <c r="R19" s="178"/>
      <c r="S19" s="178"/>
      <c r="T19" s="177"/>
      <c r="U19" s="177"/>
      <c r="V19" s="93"/>
      <c r="W19" s="93"/>
      <c r="AB19" s="93"/>
      <c r="AC19" s="93"/>
      <c r="AD19" s="93"/>
      <c r="AE19" s="93"/>
      <c r="AF19" s="177"/>
      <c r="AG19" s="177"/>
      <c r="AH19" s="177"/>
      <c r="AI19" s="177"/>
      <c r="AJ19" s="177">
        <v>17</v>
      </c>
      <c r="AK19" s="177"/>
      <c r="AL19" s="177"/>
      <c r="AO19" s="120">
        <v>363</v>
      </c>
      <c r="AQ19"/>
    </row>
    <row r="20" spans="1:60" ht="18" customHeight="1" x14ac:dyDescent="0.25">
      <c r="A20" s="177"/>
      <c r="B20" s="177"/>
      <c r="C20" s="177"/>
      <c r="D20" s="177"/>
      <c r="E20" s="177"/>
      <c r="J20" s="177"/>
      <c r="K20" s="177"/>
      <c r="L20" s="177"/>
      <c r="M20" s="177"/>
      <c r="N20" s="178"/>
      <c r="O20" s="178"/>
      <c r="P20" s="178"/>
      <c r="Q20" s="178"/>
      <c r="R20" s="178"/>
      <c r="S20" s="178"/>
      <c r="T20" s="177"/>
      <c r="U20" s="177"/>
      <c r="V20" s="93"/>
      <c r="W20" s="93"/>
      <c r="AB20" s="93"/>
      <c r="AC20" s="93"/>
      <c r="AD20" s="93"/>
      <c r="AE20" s="93"/>
      <c r="AF20" s="177"/>
      <c r="AG20" s="177"/>
      <c r="AH20" s="177"/>
      <c r="AI20" s="177"/>
      <c r="AJ20" s="115" t="s">
        <v>1305</v>
      </c>
      <c r="AL20" s="148" t="s">
        <v>1341</v>
      </c>
      <c r="AN20"/>
    </row>
    <row r="21" spans="1:60" ht="18" customHeight="1" x14ac:dyDescent="0.25">
      <c r="A21" s="177"/>
      <c r="B21" s="177"/>
      <c r="C21" s="177"/>
      <c r="D21" s="177"/>
      <c r="E21" s="177"/>
      <c r="J21" s="177"/>
      <c r="K21" s="177"/>
      <c r="L21" s="177"/>
      <c r="M21" s="177"/>
      <c r="N21" s="178"/>
      <c r="O21" s="178"/>
      <c r="P21" s="178"/>
      <c r="Q21" s="178"/>
      <c r="R21" s="178"/>
      <c r="S21" s="178"/>
      <c r="T21" s="177"/>
      <c r="U21" s="177"/>
      <c r="V21" s="93"/>
      <c r="W21" s="93"/>
      <c r="AB21" s="93"/>
      <c r="AC21" s="93"/>
      <c r="AD21" s="93"/>
      <c r="AE21" s="93"/>
      <c r="AF21" s="177"/>
      <c r="AG21" s="177"/>
      <c r="AH21" s="177"/>
      <c r="AI21" s="177"/>
      <c r="AJ21" s="116" t="s">
        <v>19</v>
      </c>
      <c r="AL21" s="148" t="s">
        <v>49</v>
      </c>
      <c r="AM21" s="86"/>
      <c r="AN21"/>
    </row>
    <row r="22" spans="1:60" ht="18" customHeight="1" x14ac:dyDescent="0.25">
      <c r="A22" s="177"/>
      <c r="B22" s="177"/>
      <c r="C22" s="177"/>
      <c r="D22" s="177"/>
      <c r="E22" s="177"/>
      <c r="R22" s="88"/>
      <c r="S22" s="88"/>
      <c r="T22" s="88"/>
      <c r="U22" s="88"/>
      <c r="AB22" s="93"/>
      <c r="AC22" s="93"/>
      <c r="AD22" s="93"/>
      <c r="AE22" s="93"/>
      <c r="AF22" s="177"/>
      <c r="AG22" s="177"/>
      <c r="AH22" s="177"/>
      <c r="AI22" s="177"/>
      <c r="AJ22" s="115" t="s">
        <v>1306</v>
      </c>
      <c r="AL22" s="148" t="s">
        <v>49</v>
      </c>
      <c r="AN22"/>
    </row>
    <row r="23" spans="1:60" ht="18" customHeight="1" x14ac:dyDescent="0.25">
      <c r="A23" s="177"/>
      <c r="B23" s="177"/>
      <c r="C23" s="251" t="str">
        <f>IFERROR(IF(INDEX(studentdata[Name], MATCH(AO19, studentdata[SN], 0))=0, "", INDEX(studentdata[Name], MATCH(AO19, studentdata[SN], 0))), "")</f>
        <v>Kimiya Shahadat Azam</v>
      </c>
      <c r="D23" s="251"/>
      <c r="E23" s="251"/>
      <c r="F23" s="251"/>
      <c r="G23" s="251"/>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c r="AE23" s="93"/>
      <c r="AF23" s="177"/>
      <c r="AG23" s="114" t="str" cm="1">
        <f t="array" ref="AG23:BH26">_xlfn.VSTACK(_xlfn.CHOOSECOLS(studentdata[#Headers],13,14,15,16,17,18,19,20,21,22,23,25),IF(AND(AL20="",AL21="",AL22=""),"",_xlfn.LET(_xlpm.nameFilter,IF(AL20="",TRUE,ISNUMBER(SEARCH(AL20,studentdata[Name]))),_xlpm.fatherNameFilter,IF(AL21="",TRUE,ISNUMBER(SEARCH(AL21,studentdata[Father Name]))),_xlpm.motherNameFilter,IF(AL22="",TRUE,ISNUMBER(SEARCH(AL22,studentdata[Mother Name]))),_xlpm.filteredData,_xlfn._xlws.FILTER(studentdata[],_xlpm.nameFilter*_xlpm.fatherNameFilter*_xlpm.motherNameFilter,"None"),IF(_xlpm.filteredData="None","None",_xlfn.CHOOSECOLS(_xlpm.filteredData,13,14,15,16,17,18,19,20,21,22,23,25)))))</f>
        <v>SN</v>
      </c>
      <c r="AH23" s="114" t="str">
        <v>Name</v>
      </c>
      <c r="AI23" s="114" t="str">
        <v>RG</v>
      </c>
      <c r="AJ23" s="114" t="str">
        <v>Father Name</v>
      </c>
      <c r="AK23" s="114" t="str">
        <v>Father Phone</v>
      </c>
      <c r="AL23" s="114" t="str">
        <v>Mother Name</v>
      </c>
      <c r="AM23" s="114" t="str">
        <v>Mother Phone</v>
      </c>
      <c r="AN23" s="114" t="str">
        <v>Gender</v>
      </c>
      <c r="AO23" s="114" t="str">
        <v>Grade</v>
      </c>
      <c r="AP23" s="114" t="str">
        <v>Level</v>
      </c>
      <c r="AQ23" s="114" t="str">
        <v>Weekend 2025 Enrolled</v>
      </c>
      <c r="AR23" s="114" t="str">
        <v>Evening 2025 Enrolled</v>
      </c>
      <c r="AS23" s="88" t="e">
        <v>#N/A</v>
      </c>
      <c r="AT23" s="88" t="e">
        <v>#N/A</v>
      </c>
      <c r="AU23" s="88" t="e">
        <v>#N/A</v>
      </c>
      <c r="AV23" s="88" t="e">
        <v>#N/A</v>
      </c>
      <c r="AW23" s="88" t="e">
        <v>#N/A</v>
      </c>
      <c r="AX23" s="88" t="e">
        <v>#N/A</v>
      </c>
      <c r="AY23" s="88" t="e">
        <v>#N/A</v>
      </c>
      <c r="AZ23" s="88" t="e">
        <v>#N/A</v>
      </c>
      <c r="BA23" s="88" t="e">
        <v>#N/A</v>
      </c>
      <c r="BB23" s="88" t="e">
        <v>#N/A</v>
      </c>
      <c r="BC23" s="88" t="e">
        <v>#N/A</v>
      </c>
      <c r="BD23" s="88" t="e">
        <v>#N/A</v>
      </c>
      <c r="BE23" s="88" t="e">
        <v>#N/A</v>
      </c>
      <c r="BF23" s="88" t="e">
        <v>#N/A</v>
      </c>
      <c r="BG23" s="88" t="e">
        <v>#N/A</v>
      </c>
      <c r="BH23" s="88" t="e">
        <v>#N/A</v>
      </c>
    </row>
    <row r="24" spans="1:60" ht="18" customHeight="1" x14ac:dyDescent="0.25">
      <c r="A24" s="177"/>
      <c r="B24" s="177"/>
      <c r="C24" s="251"/>
      <c r="D24" s="251"/>
      <c r="E24" s="251"/>
      <c r="F24" s="251"/>
      <c r="G24" s="251"/>
      <c r="H24" s="251"/>
      <c r="I24" s="251"/>
      <c r="J24" s="251"/>
      <c r="K24" s="251"/>
      <c r="L24" s="251"/>
      <c r="M24" s="251"/>
      <c r="N24" s="251"/>
      <c r="O24" s="251"/>
      <c r="P24" s="251"/>
      <c r="Q24" s="251"/>
      <c r="R24" s="251"/>
      <c r="S24" s="251"/>
      <c r="T24" s="251"/>
      <c r="U24" s="251"/>
      <c r="V24" s="251"/>
      <c r="W24" s="251"/>
      <c r="X24" s="251"/>
      <c r="Y24" s="251"/>
      <c r="Z24" s="251"/>
      <c r="AA24" s="251"/>
      <c r="AB24" s="251"/>
      <c r="AC24" s="251"/>
      <c r="AD24" s="251"/>
      <c r="AE24" s="93"/>
      <c r="AF24" s="177"/>
      <c r="AG24" s="119">
        <v>82</v>
      </c>
      <c r="AH24" t="str">
        <v>Mahdi Hakim</v>
      </c>
      <c r="AI24">
        <v>49</v>
      </c>
      <c r="AJ24" t="str">
        <v>Abdul Hakim</v>
      </c>
      <c r="AK24">
        <v>13134556417</v>
      </c>
      <c r="AL24" t="str">
        <v>Runa Begum</v>
      </c>
      <c r="AM24">
        <v>15864577859</v>
      </c>
      <c r="AN24" t="str">
        <v>M</v>
      </c>
      <c r="AO24" s="88" t="str">
        <v>Kindergarten</v>
      </c>
      <c r="AP24" s="88" t="str">
        <v>1a</v>
      </c>
      <c r="AQ24" s="88" t="str">
        <v>Yes</v>
      </c>
      <c r="AR24" s="88" t="str">
        <v/>
      </c>
      <c r="AS24" s="88" t="e">
        <v>#N/A</v>
      </c>
      <c r="AT24" s="88" t="e">
        <v>#N/A</v>
      </c>
      <c r="AU24" s="88" t="e">
        <v>#N/A</v>
      </c>
      <c r="AV24" s="88" t="e">
        <v>#N/A</v>
      </c>
      <c r="AW24" s="88" t="e">
        <v>#N/A</v>
      </c>
      <c r="AX24" s="88" t="e">
        <v>#N/A</v>
      </c>
      <c r="AY24" s="88" t="e">
        <v>#N/A</v>
      </c>
      <c r="AZ24" s="88" t="e">
        <v>#N/A</v>
      </c>
      <c r="BA24" s="88" t="e">
        <v>#N/A</v>
      </c>
      <c r="BB24" s="88" t="e">
        <v>#N/A</v>
      </c>
      <c r="BC24" s="88" t="e">
        <v>#N/A</v>
      </c>
      <c r="BD24" s="88" t="e">
        <v>#N/A</v>
      </c>
      <c r="BE24" s="88" t="e">
        <v>#N/A</v>
      </c>
      <c r="BF24" s="88" t="e">
        <v>#N/A</v>
      </c>
      <c r="BG24" s="88" t="e">
        <v>#N/A</v>
      </c>
      <c r="BH24" s="88" t="e">
        <v>#N/A</v>
      </c>
    </row>
    <row r="25" spans="1:60" ht="18" customHeight="1" x14ac:dyDescent="0.25">
      <c r="A25" s="177"/>
      <c r="B25" s="177"/>
      <c r="C25" s="251"/>
      <c r="D25" s="251"/>
      <c r="E25" s="251"/>
      <c r="F25" s="251"/>
      <c r="G25" s="251"/>
      <c r="H25" s="251"/>
      <c r="I25" s="251"/>
      <c r="J25" s="251"/>
      <c r="K25" s="251"/>
      <c r="L25" s="251"/>
      <c r="M25" s="251"/>
      <c r="N25" s="251"/>
      <c r="O25" s="251"/>
      <c r="P25" s="251"/>
      <c r="Q25" s="251"/>
      <c r="R25" s="251"/>
      <c r="S25" s="251"/>
      <c r="T25" s="251"/>
      <c r="U25" s="251"/>
      <c r="V25" s="251"/>
      <c r="W25" s="251"/>
      <c r="X25" s="251"/>
      <c r="Y25" s="251"/>
      <c r="Z25" s="251"/>
      <c r="AA25" s="251"/>
      <c r="AB25" s="251"/>
      <c r="AC25" s="251"/>
      <c r="AD25" s="251"/>
      <c r="AE25" s="93"/>
      <c r="AF25" s="177"/>
      <c r="AG25" s="177">
        <v>83</v>
      </c>
      <c r="AH25" s="88" t="str">
        <v>Marowa Hakim</v>
      </c>
      <c r="AI25" s="88">
        <v>49</v>
      </c>
      <c r="AJ25" s="88" t="str">
        <v>Abdul Hakim</v>
      </c>
      <c r="AK25" s="88">
        <v>13134556417</v>
      </c>
      <c r="AL25" s="88" t="str">
        <v>Runa Begum</v>
      </c>
      <c r="AM25" s="88">
        <v>15864577859</v>
      </c>
      <c r="AN25" s="88" t="str">
        <v>F</v>
      </c>
      <c r="AO25" s="88" t="str">
        <v>5th Grade</v>
      </c>
      <c r="AP25" s="88" t="str">
        <v>1c</v>
      </c>
      <c r="AQ25" s="88" t="str">
        <v>Yes</v>
      </c>
      <c r="AR25" s="88" t="str">
        <v/>
      </c>
      <c r="AS25" s="88" t="e">
        <v>#N/A</v>
      </c>
      <c r="AT25" s="88" t="e">
        <v>#N/A</v>
      </c>
      <c r="AU25" s="88" t="e">
        <v>#N/A</v>
      </c>
      <c r="AV25" s="88" t="e">
        <v>#N/A</v>
      </c>
      <c r="AW25" s="88" t="e">
        <v>#N/A</v>
      </c>
      <c r="AX25" s="88" t="e">
        <v>#N/A</v>
      </c>
      <c r="AY25" s="88" t="e">
        <v>#N/A</v>
      </c>
      <c r="AZ25" s="88" t="e">
        <v>#N/A</v>
      </c>
      <c r="BA25" s="88" t="e">
        <v>#N/A</v>
      </c>
      <c r="BB25" s="88" t="e">
        <v>#N/A</v>
      </c>
      <c r="BC25" s="88" t="e">
        <v>#N/A</v>
      </c>
      <c r="BD25" s="88" t="e">
        <v>#N/A</v>
      </c>
      <c r="BE25" s="88" t="e">
        <v>#N/A</v>
      </c>
      <c r="BF25" s="88" t="e">
        <v>#N/A</v>
      </c>
      <c r="BG25" s="88" t="e">
        <v>#N/A</v>
      </c>
      <c r="BH25" s="88" t="e">
        <v>#N/A</v>
      </c>
    </row>
    <row r="26" spans="1:60" ht="18" customHeight="1" x14ac:dyDescent="0.25">
      <c r="A26" s="177"/>
      <c r="B26" s="177"/>
      <c r="C26" s="251"/>
      <c r="D26" s="251"/>
      <c r="E26" s="251"/>
      <c r="F26" s="251"/>
      <c r="G26" s="251"/>
      <c r="H26" s="251"/>
      <c r="I26" s="251"/>
      <c r="J26" s="251"/>
      <c r="K26" s="251"/>
      <c r="L26" s="251"/>
      <c r="M26" s="251"/>
      <c r="N26" s="251"/>
      <c r="O26" s="251"/>
      <c r="P26" s="251"/>
      <c r="Q26" s="251"/>
      <c r="R26" s="251"/>
      <c r="S26" s="251"/>
      <c r="T26" s="251"/>
      <c r="U26" s="251"/>
      <c r="V26" s="251"/>
      <c r="W26" s="251"/>
      <c r="X26" s="251"/>
      <c r="Y26" s="251"/>
      <c r="Z26" s="251"/>
      <c r="AA26" s="251"/>
      <c r="AB26" s="251"/>
      <c r="AC26" s="251"/>
      <c r="AD26" s="251"/>
      <c r="AE26" s="93"/>
      <c r="AF26" s="177"/>
      <c r="AG26" s="177">
        <v>363</v>
      </c>
      <c r="AH26" s="88" t="str">
        <v>Kimiya Shahadat Azam</v>
      </c>
      <c r="AI26" s="88">
        <v>218</v>
      </c>
      <c r="AJ26" s="88" t="str">
        <v>Mohammad Shafiul Azam</v>
      </c>
      <c r="AK26" s="88">
        <v>5862021959</v>
      </c>
      <c r="AL26" s="88" t="str">
        <v>Nabila Arifin</v>
      </c>
      <c r="AM26" s="88">
        <v>5863821204</v>
      </c>
      <c r="AN26" s="88" t="str">
        <v>M</v>
      </c>
      <c r="AO26" s="88" t="str">
        <v>5th Grade</v>
      </c>
      <c r="AP26" s="88">
        <v>3</v>
      </c>
      <c r="AQ26" s="88" t="str">
        <v>Yes</v>
      </c>
      <c r="AR26" s="88" t="str">
        <v/>
      </c>
      <c r="AS26" s="88" t="e">
        <v>#N/A</v>
      </c>
      <c r="AT26" s="88" t="e">
        <v>#N/A</v>
      </c>
      <c r="AU26" s="88" t="e">
        <v>#N/A</v>
      </c>
      <c r="AV26" s="88" t="e">
        <v>#N/A</v>
      </c>
      <c r="AW26" s="88" t="e">
        <v>#N/A</v>
      </c>
      <c r="AX26" s="88" t="e">
        <v>#N/A</v>
      </c>
      <c r="AY26" s="88" t="e">
        <v>#N/A</v>
      </c>
      <c r="AZ26" s="88" t="e">
        <v>#N/A</v>
      </c>
      <c r="BA26" s="88" t="e">
        <v>#N/A</v>
      </c>
      <c r="BB26" s="88" t="e">
        <v>#N/A</v>
      </c>
      <c r="BC26" s="88" t="e">
        <v>#N/A</v>
      </c>
      <c r="BD26" s="88" t="e">
        <v>#N/A</v>
      </c>
      <c r="BE26" s="88" t="e">
        <v>#N/A</v>
      </c>
      <c r="BF26" s="88" t="e">
        <v>#N/A</v>
      </c>
      <c r="BG26" s="88" t="e">
        <v>#N/A</v>
      </c>
      <c r="BH26" s="88" t="e">
        <v>#N/A</v>
      </c>
    </row>
    <row r="27" spans="1:60" ht="18" customHeight="1" x14ac:dyDescent="0.25">
      <c r="A27" s="177"/>
      <c r="B27" s="177"/>
      <c r="C27" s="177"/>
      <c r="D27" s="177"/>
      <c r="E27" s="177"/>
      <c r="F27" s="177"/>
      <c r="H27" s="242" t="s">
        <v>1307</v>
      </c>
      <c r="I27" s="242"/>
      <c r="J27" s="242"/>
      <c r="K27" s="252" t="str">
        <f>IFERROR(IF(INDEX(studentdata[Gender], MATCH(AO19, studentdata[SN], 0))=0, "", INDEX(studentdata[Gender], MATCH(AO19, studentdata[SN], 0))), "")</f>
        <v>M</v>
      </c>
      <c r="L27" s="252"/>
      <c r="M27" s="252"/>
      <c r="N27" s="242" t="s">
        <v>1227</v>
      </c>
      <c r="O27" s="242"/>
      <c r="P27" s="242"/>
      <c r="Q27" s="252">
        <f>IFERROR(IF(INDEX(studentdata[RG], MATCH(AO19, studentdata[SN], 0))=0, "", INDEX(studentdata[RG], MATCH(AO19, studentdata[SN], 0))), "")</f>
        <v>218</v>
      </c>
      <c r="R27" s="252"/>
      <c r="S27" s="252"/>
      <c r="T27" s="242" t="s">
        <v>1225</v>
      </c>
      <c r="U27" s="242"/>
      <c r="V27" s="242"/>
      <c r="W27" s="252">
        <f>IFERROR(IF(INDEX(studentdata[SN], MATCH(AO19, studentdata[SN], 0))=0, "", INDEX(studentdata[SN], MATCH(AO19, studentdata[SN], 0))), "")</f>
        <v>363</v>
      </c>
      <c r="X27" s="252"/>
      <c r="Y27" s="252"/>
      <c r="AF27" s="177"/>
      <c r="AG27" s="177"/>
    </row>
    <row r="28" spans="1:60" ht="18" customHeight="1" x14ac:dyDescent="0.25">
      <c r="A28" s="177"/>
      <c r="B28" s="177"/>
      <c r="C28" s="177"/>
      <c r="D28" s="177"/>
      <c r="E28" s="94"/>
      <c r="F28" s="177"/>
      <c r="H28" s="242" t="s">
        <v>1308</v>
      </c>
      <c r="I28" s="242"/>
      <c r="J28" s="242"/>
      <c r="K28" s="242"/>
      <c r="L28" s="252">
        <f>IFERROR(IF(INDEX(studentdata[Father Phone], MATCH(AO19, studentdata[SN], 0))=0, "", INDEX(studentdata[Father Phone], MATCH(AO19, studentdata[SN], 0))), "")</f>
        <v>5862021959</v>
      </c>
      <c r="M28" s="252"/>
      <c r="N28" s="252"/>
      <c r="O28" s="252"/>
      <c r="P28" s="252"/>
      <c r="Q28" s="242" t="s">
        <v>1309</v>
      </c>
      <c r="R28" s="242"/>
      <c r="S28" s="242"/>
      <c r="T28" s="242"/>
      <c r="U28" s="252">
        <f>IFERROR(IF(INDEX(studentdata[Mother Phone], MATCH(AO19, studentdata[SN], 0))=0, "", INDEX(studentdata[Mother Phone], MATCH(AO19, studentdata[SN], 0))), "")</f>
        <v>5863821204</v>
      </c>
      <c r="V28" s="252"/>
      <c r="W28" s="252"/>
      <c r="X28" s="252"/>
      <c r="Y28" s="252"/>
      <c r="AA28" s="93"/>
      <c r="AB28" s="93"/>
      <c r="AC28" s="93"/>
      <c r="AD28" s="93"/>
      <c r="AE28" s="93"/>
      <c r="AF28" s="177"/>
      <c r="AG28" s="177"/>
    </row>
    <row r="29" spans="1:60" ht="18" customHeight="1" x14ac:dyDescent="0.25">
      <c r="A29" s="177"/>
      <c r="B29" s="177"/>
      <c r="C29" s="177"/>
      <c r="D29" s="177"/>
      <c r="R29" s="88"/>
      <c r="S29" s="88"/>
      <c r="T29" s="88"/>
      <c r="U29" s="88"/>
      <c r="AD29" s="93"/>
      <c r="AE29" s="93"/>
      <c r="AF29" s="177"/>
    </row>
    <row r="30" spans="1:60" ht="18" customHeight="1" x14ac:dyDescent="0.25">
      <c r="A30" s="88"/>
      <c r="B30" s="249" t="s">
        <v>1310</v>
      </c>
      <c r="C30" s="249"/>
      <c r="D30" s="249"/>
      <c r="E30" s="249"/>
      <c r="F30" s="249"/>
      <c r="G30" s="249"/>
      <c r="H30" s="249"/>
      <c r="I30" s="249"/>
      <c r="J30" s="249"/>
      <c r="K30" s="249"/>
      <c r="L30" s="249"/>
      <c r="M30" s="249"/>
      <c r="N30" s="249"/>
      <c r="O30" s="249"/>
      <c r="P30" s="249"/>
      <c r="Q30" s="248" t="s">
        <v>1311</v>
      </c>
      <c r="R30" s="248"/>
      <c r="S30" s="248"/>
      <c r="T30" s="248"/>
      <c r="U30" s="248"/>
      <c r="V30" s="248"/>
      <c r="W30" s="248"/>
      <c r="X30" s="248"/>
      <c r="Y30" s="248"/>
      <c r="Z30" s="248"/>
      <c r="AA30" s="248"/>
      <c r="AB30" s="248"/>
      <c r="AC30" s="248"/>
      <c r="AD30" s="248"/>
      <c r="AE30" s="248"/>
    </row>
    <row r="31" spans="1:60" ht="18" customHeight="1" x14ac:dyDescent="0.25">
      <c r="A31" s="88"/>
      <c r="B31" s="249"/>
      <c r="C31" s="249"/>
      <c r="D31" s="249"/>
      <c r="E31" s="249"/>
      <c r="F31" s="249"/>
      <c r="G31" s="249"/>
      <c r="H31" s="249"/>
      <c r="I31" s="249"/>
      <c r="J31" s="249"/>
      <c r="K31" s="249"/>
      <c r="L31" s="249"/>
      <c r="M31" s="249"/>
      <c r="N31" s="249"/>
      <c r="O31" s="249"/>
      <c r="P31" s="249"/>
      <c r="Q31" s="248"/>
      <c r="R31" s="248"/>
      <c r="S31" s="248"/>
      <c r="T31" s="248"/>
      <c r="U31" s="248"/>
      <c r="V31" s="248"/>
      <c r="W31" s="248"/>
      <c r="X31" s="248"/>
      <c r="Y31" s="248"/>
      <c r="Z31" s="248"/>
      <c r="AA31" s="248"/>
      <c r="AB31" s="248"/>
      <c r="AC31" s="248"/>
      <c r="AD31" s="248"/>
      <c r="AE31" s="248"/>
    </row>
    <row r="32" spans="1:60" ht="18" customHeight="1" x14ac:dyDescent="0.25">
      <c r="A32" s="88"/>
      <c r="B32" s="101"/>
      <c r="C32" s="101"/>
      <c r="D32" s="101"/>
      <c r="E32" s="101"/>
      <c r="F32" s="101"/>
      <c r="G32" s="101"/>
      <c r="H32" s="101"/>
      <c r="I32" s="101"/>
      <c r="J32" s="101"/>
      <c r="K32" s="243"/>
      <c r="L32" s="243"/>
      <c r="M32" s="243"/>
      <c r="N32" s="243"/>
      <c r="O32" s="243"/>
      <c r="P32" s="243"/>
      <c r="Q32" s="243"/>
      <c r="R32" s="243"/>
      <c r="S32" s="243"/>
      <c r="T32" s="243"/>
      <c r="U32" s="243"/>
      <c r="V32" s="243"/>
      <c r="W32" s="101"/>
      <c r="X32" s="101"/>
      <c r="Y32" s="101"/>
      <c r="Z32" s="101"/>
      <c r="AA32" s="101"/>
      <c r="AB32" s="101"/>
      <c r="AC32" s="101"/>
      <c r="AD32" s="101"/>
      <c r="AE32" s="101"/>
    </row>
    <row r="33" spans="1:32" ht="18" customHeight="1" x14ac:dyDescent="0.25">
      <c r="A33" s="88"/>
      <c r="K33" s="243"/>
      <c r="L33" s="243"/>
      <c r="M33" s="243"/>
      <c r="N33" s="243"/>
      <c r="O33" s="243"/>
      <c r="P33" s="243"/>
      <c r="Q33" s="243"/>
      <c r="R33" s="243"/>
      <c r="S33" s="243"/>
      <c r="T33" s="243"/>
      <c r="U33" s="243"/>
      <c r="V33" s="243"/>
    </row>
    <row r="34" spans="1:32" ht="18" customHeight="1" x14ac:dyDescent="0.25">
      <c r="A34" s="88"/>
      <c r="R34" s="88"/>
      <c r="S34" s="88"/>
      <c r="T34" s="88"/>
      <c r="U34" s="88"/>
    </row>
    <row r="35" spans="1:32" ht="18" customHeight="1" x14ac:dyDescent="0.25">
      <c r="A35" s="177"/>
      <c r="B35" s="90"/>
      <c r="C35" s="90"/>
      <c r="D35" s="90"/>
      <c r="E35" s="90"/>
      <c r="R35" s="88"/>
      <c r="S35" s="88"/>
      <c r="T35" s="88"/>
      <c r="U35" s="88"/>
      <c r="AE35" s="93"/>
      <c r="AF35" s="177"/>
    </row>
    <row r="36" spans="1:32" ht="18" customHeight="1" x14ac:dyDescent="0.25">
      <c r="A36" s="177"/>
      <c r="B36" s="177"/>
      <c r="C36" s="177"/>
      <c r="D36" s="177"/>
      <c r="E36" s="177"/>
      <c r="F36" s="177"/>
      <c r="G36" s="177"/>
      <c r="H36" s="177"/>
      <c r="I36" s="177"/>
      <c r="J36" s="242"/>
      <c r="K36" s="242"/>
      <c r="L36" s="242"/>
      <c r="M36" s="242"/>
      <c r="N36" s="242"/>
      <c r="O36" s="242"/>
      <c r="P36" s="242"/>
      <c r="Q36" s="242"/>
      <c r="R36" s="242"/>
      <c r="S36" s="242"/>
      <c r="T36" s="242"/>
      <c r="U36" s="242"/>
      <c r="V36" s="242"/>
      <c r="W36" s="242"/>
      <c r="X36" s="95"/>
      <c r="Y36" s="95"/>
      <c r="Z36" s="95"/>
      <c r="AA36" s="95"/>
      <c r="AB36" s="95"/>
      <c r="AC36" s="95"/>
      <c r="AD36" s="95"/>
      <c r="AE36" s="93"/>
      <c r="AF36" s="177"/>
    </row>
    <row r="37" spans="1:32" ht="18" customHeight="1" x14ac:dyDescent="0.25">
      <c r="A37" s="177"/>
      <c r="B37" s="177"/>
      <c r="C37" s="177"/>
      <c r="D37" s="177"/>
      <c r="E37" s="177"/>
      <c r="F37" s="177"/>
      <c r="G37" s="177"/>
      <c r="H37" s="177"/>
      <c r="I37" s="177"/>
      <c r="J37" s="242"/>
      <c r="K37" s="242"/>
      <c r="L37" s="242"/>
      <c r="M37" s="242"/>
      <c r="N37" s="242"/>
      <c r="O37" s="242"/>
      <c r="P37" s="242"/>
      <c r="Q37" s="242"/>
      <c r="R37" s="242"/>
      <c r="S37" s="242"/>
      <c r="T37" s="242"/>
      <c r="U37" s="242"/>
      <c r="V37" s="242"/>
      <c r="W37" s="242"/>
      <c r="AE37" s="93"/>
      <c r="AF37" s="177"/>
    </row>
    <row r="38" spans="1:32" ht="18" customHeight="1" x14ac:dyDescent="0.25">
      <c r="A38" s="177"/>
      <c r="B38" s="177"/>
      <c r="C38" s="177"/>
      <c r="D38" s="177"/>
      <c r="E38" s="177"/>
      <c r="F38" s="177"/>
      <c r="G38" s="177"/>
      <c r="H38" s="177"/>
      <c r="I38" s="177"/>
      <c r="J38" s="246"/>
      <c r="K38" s="246"/>
      <c r="L38" s="246"/>
      <c r="M38" s="246"/>
      <c r="N38" s="246"/>
      <c r="O38" s="246"/>
      <c r="P38" s="246"/>
      <c r="Q38" s="246"/>
      <c r="R38" s="246"/>
      <c r="S38" s="246"/>
      <c r="T38" s="246"/>
      <c r="U38" s="246"/>
      <c r="V38" s="246"/>
      <c r="W38" s="246"/>
      <c r="AE38" s="93"/>
      <c r="AF38" s="177"/>
    </row>
    <row r="39" spans="1:32" ht="18" customHeight="1" x14ac:dyDescent="0.25">
      <c r="A39" s="177"/>
      <c r="B39" s="177"/>
      <c r="C39" s="177"/>
      <c r="D39" s="177"/>
      <c r="E39" s="177"/>
      <c r="F39" s="177"/>
      <c r="G39" s="177"/>
      <c r="H39" s="177"/>
      <c r="I39" s="177"/>
      <c r="J39" s="244" t="s">
        <v>1312</v>
      </c>
      <c r="K39" s="244"/>
      <c r="L39" s="244"/>
      <c r="M39" s="244"/>
      <c r="N39" s="244"/>
      <c r="O39" s="244"/>
      <c r="P39" s="244"/>
      <c r="Q39" s="244"/>
      <c r="R39" s="244"/>
      <c r="S39" s="244"/>
      <c r="T39" s="244"/>
      <c r="U39" s="244"/>
      <c r="V39" s="244"/>
      <c r="W39" s="244"/>
      <c r="AE39" s="93"/>
      <c r="AF39" s="177"/>
    </row>
    <row r="40" spans="1:32" ht="18" customHeight="1" x14ac:dyDescent="0.25">
      <c r="A40" s="177"/>
      <c r="B40" s="177"/>
      <c r="C40" s="177"/>
      <c r="D40" s="177"/>
      <c r="E40" s="177"/>
      <c r="F40" s="177"/>
      <c r="G40" s="177"/>
      <c r="H40" s="177"/>
      <c r="I40" s="177"/>
      <c r="J40" s="245"/>
      <c r="K40" s="245"/>
      <c r="L40" s="245"/>
      <c r="M40" s="245"/>
      <c r="N40" s="245"/>
      <c r="O40" s="245"/>
      <c r="P40" s="245"/>
      <c r="Q40" s="245"/>
      <c r="R40" s="245"/>
      <c r="S40" s="245"/>
      <c r="T40" s="245"/>
      <c r="U40" s="245"/>
      <c r="V40" s="245"/>
      <c r="W40" s="245"/>
      <c r="AE40" s="93"/>
      <c r="AF40" s="177"/>
    </row>
    <row r="41" spans="1:32" ht="18" customHeight="1" x14ac:dyDescent="0.25">
      <c r="A41" s="177"/>
      <c r="B41" s="177"/>
      <c r="C41" s="177"/>
      <c r="D41" s="177"/>
      <c r="E41" s="177"/>
      <c r="F41" s="177"/>
      <c r="G41" s="177"/>
      <c r="H41" s="177"/>
      <c r="I41" s="177"/>
      <c r="J41" s="177"/>
      <c r="K41" s="177"/>
      <c r="L41" s="177"/>
      <c r="M41" s="177"/>
      <c r="N41" s="177"/>
      <c r="O41" s="177"/>
      <c r="P41" s="177"/>
      <c r="Q41" s="177"/>
      <c r="R41" s="88"/>
      <c r="S41" s="88"/>
      <c r="T41" s="88"/>
      <c r="U41" s="88"/>
      <c r="AE41" s="93"/>
      <c r="AF41" s="177"/>
    </row>
    <row r="42" spans="1:32" ht="18" customHeight="1" x14ac:dyDescent="0.25">
      <c r="A42" s="177"/>
      <c r="B42" s="177"/>
      <c r="C42" s="177"/>
      <c r="D42" s="177"/>
      <c r="E42" s="177"/>
      <c r="F42" s="177"/>
      <c r="G42" s="177"/>
      <c r="H42" s="177"/>
      <c r="I42" s="177"/>
      <c r="J42" s="177"/>
      <c r="K42" s="177"/>
      <c r="L42" s="177"/>
      <c r="M42" s="177"/>
      <c r="N42" s="177"/>
      <c r="O42" s="177"/>
      <c r="P42" s="177"/>
      <c r="Q42" s="177"/>
      <c r="R42" s="177"/>
      <c r="S42" s="177"/>
      <c r="T42" s="177"/>
      <c r="U42" s="93"/>
      <c r="V42" s="93"/>
      <c r="W42" s="93"/>
      <c r="X42" s="93"/>
      <c r="Y42" s="93"/>
      <c r="Z42" s="93"/>
      <c r="AA42" s="93"/>
      <c r="AB42" s="93"/>
      <c r="AC42" s="93"/>
      <c r="AD42" s="93"/>
      <c r="AE42" s="93"/>
      <c r="AF42" s="177"/>
    </row>
    <row r="43" spans="1:32" ht="18" customHeight="1" x14ac:dyDescent="0.25">
      <c r="A43" s="96"/>
      <c r="B43" s="121"/>
      <c r="C43" s="121"/>
      <c r="D43" s="121"/>
      <c r="E43" s="121"/>
      <c r="F43" s="121"/>
      <c r="G43" s="121"/>
      <c r="H43" s="121"/>
      <c r="I43" s="121"/>
      <c r="J43" s="121"/>
      <c r="K43" s="121"/>
      <c r="L43" s="121"/>
      <c r="M43" s="121"/>
      <c r="N43" s="121"/>
      <c r="O43" s="121"/>
      <c r="P43" s="121"/>
      <c r="Q43" s="121"/>
      <c r="R43" s="97"/>
      <c r="S43" s="97"/>
      <c r="T43" s="97"/>
      <c r="U43" s="97"/>
      <c r="V43" s="121"/>
      <c r="W43" s="121"/>
      <c r="X43" s="121"/>
      <c r="Y43" s="121"/>
      <c r="Z43" s="121"/>
      <c r="AA43" s="121"/>
      <c r="AB43" s="121"/>
      <c r="AC43" s="121"/>
      <c r="AD43" s="121"/>
      <c r="AE43" s="121"/>
      <c r="AF43" s="121"/>
    </row>
  </sheetData>
  <mergeCells count="26">
    <mergeCell ref="J15:W15"/>
    <mergeCell ref="H28:K28"/>
    <mergeCell ref="Q28:T28"/>
    <mergeCell ref="Q30:AE31"/>
    <mergeCell ref="B30:P31"/>
    <mergeCell ref="K16:V16"/>
    <mergeCell ref="N17:S17"/>
    <mergeCell ref="N18:S18"/>
    <mergeCell ref="C23:AD26"/>
    <mergeCell ref="K27:M27"/>
    <mergeCell ref="Q27:S27"/>
    <mergeCell ref="N27:P27"/>
    <mergeCell ref="W27:Y27"/>
    <mergeCell ref="T27:V27"/>
    <mergeCell ref="L28:P28"/>
    <mergeCell ref="U28:Y28"/>
    <mergeCell ref="J36:W36"/>
    <mergeCell ref="J37:W37"/>
    <mergeCell ref="K32:V33"/>
    <mergeCell ref="H27:J27"/>
    <mergeCell ref="J39:W40"/>
    <mergeCell ref="P38:Q38"/>
    <mergeCell ref="N38:O38"/>
    <mergeCell ref="R38:U38"/>
    <mergeCell ref="V38:W38"/>
    <mergeCell ref="J38:M38"/>
  </mergeCells>
  <hyperlinks>
    <hyperlink ref="N18" r:id="rId1" xr:uid="{C1C97781-A246-4759-BADB-DEB58CCDA5F8}"/>
  </hyperlinks>
  <printOptions horizontalCentered="1"/>
  <pageMargins left="0.25" right="0.25" top="0.25" bottom="0.25" header="0" footer="0"/>
  <pageSetup fitToHeight="0" orientation="portrait" r:id="rId2"/>
  <drawing r:id="rId3"/>
  <legacyDrawing r:id="rId4"/>
  <legacyDrawingHF r:id="rId5"/>
  <controls>
    <mc:AlternateContent xmlns:mc="http://schemas.openxmlformats.org/markup-compatibility/2006">
      <mc:Choice Requires="x14">
        <control shapeId="38938" r:id="rId6" name="TextBox2">
          <controlPr defaultSize="0" autoLine="0" linkedCell="AL21" r:id="rId7">
            <anchor moveWithCells="1">
              <from>
                <xdr:col>37</xdr:col>
                <xdr:colOff>0</xdr:colOff>
                <xdr:row>20</xdr:row>
                <xdr:rowOff>0</xdr:rowOff>
              </from>
              <to>
                <xdr:col>38</xdr:col>
                <xdr:colOff>0</xdr:colOff>
                <xdr:row>21</xdr:row>
                <xdr:rowOff>0</xdr:rowOff>
              </to>
            </anchor>
          </controlPr>
        </control>
      </mc:Choice>
      <mc:Fallback>
        <control shapeId="38938" r:id="rId6" name="TextBox2"/>
      </mc:Fallback>
    </mc:AlternateContent>
    <mc:AlternateContent xmlns:mc="http://schemas.openxmlformats.org/markup-compatibility/2006">
      <mc:Choice Requires="x14">
        <control shapeId="38939" r:id="rId8" name="TextBox3">
          <controlPr defaultSize="0" autoLine="0" autoPict="0" linkedCell="AL22" r:id="rId7">
            <anchor moveWithCells="1">
              <from>
                <xdr:col>37</xdr:col>
                <xdr:colOff>0</xdr:colOff>
                <xdr:row>21</xdr:row>
                <xdr:rowOff>0</xdr:rowOff>
              </from>
              <to>
                <xdr:col>38</xdr:col>
                <xdr:colOff>0</xdr:colOff>
                <xdr:row>22</xdr:row>
                <xdr:rowOff>0</xdr:rowOff>
              </to>
            </anchor>
          </controlPr>
        </control>
      </mc:Choice>
      <mc:Fallback>
        <control shapeId="38939" r:id="rId8" name="TextBox3"/>
      </mc:Fallback>
    </mc:AlternateContent>
    <mc:AlternateContent xmlns:mc="http://schemas.openxmlformats.org/markup-compatibility/2006">
      <mc:Choice Requires="x14">
        <control shapeId="38940" r:id="rId9" name="TextBox1">
          <controlPr defaultSize="0" autoLine="0" autoPict="0" linkedCell="AL20" r:id="rId10">
            <anchor moveWithCells="1">
              <from>
                <xdr:col>37</xdr:col>
                <xdr:colOff>0</xdr:colOff>
                <xdr:row>19</xdr:row>
                <xdr:rowOff>0</xdr:rowOff>
              </from>
              <to>
                <xdr:col>38</xdr:col>
                <xdr:colOff>0</xdr:colOff>
                <xdr:row>20</xdr:row>
                <xdr:rowOff>0</xdr:rowOff>
              </to>
            </anchor>
          </controlPr>
        </control>
      </mc:Choice>
      <mc:Fallback>
        <control shapeId="38940" r:id="rId9" name="TextBox1"/>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36D2BFEF-E7A1-4BF3-8ED0-50E72ECD3D5F}">
          <x14:formula1>
            <xm:f>settings!$K$1:$K$12</xm:f>
          </x14:formula1>
          <xm:sqref>R38 J38</xm:sqref>
        </x14:dataValidation>
        <x14:dataValidation type="list" allowBlank="1" showInputMessage="1" showErrorMessage="1" xr:uid="{654E843E-ADF2-4802-B2B8-08D9DE3C9086}">
          <x14:formula1>
            <xm:f>settings!#REF!</xm:f>
          </x14:formula1>
          <xm:sqref>AF2:AF13 AF16:AF29 AF35:AF42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CE38-9794-49FA-8C5A-5886CEFC8EC0}">
  <sheetPr codeName="Sheet10">
    <tabColor rgb="FFFFC000"/>
  </sheetPr>
  <dimension ref="A1:P1920"/>
  <sheetViews>
    <sheetView view="pageLayout" topLeftCell="A141" zoomScale="60" zoomScaleNormal="100" zoomScalePageLayoutView="60" workbookViewId="0">
      <selection activeCell="A161" sqref="A161:P170"/>
    </sheetView>
  </sheetViews>
  <sheetFormatPr defaultColWidth="3.140625" defaultRowHeight="18" customHeight="1" x14ac:dyDescent="0.25"/>
  <cols>
    <col min="1" max="1" width="8.28515625" customWidth="1"/>
    <col min="2" max="2" width="4.42578125" customWidth="1"/>
    <col min="3" max="3" width="25.5703125" customWidth="1"/>
    <col min="4" max="5" width="4.85546875" customWidth="1"/>
    <col min="6" max="6" width="9.5703125" customWidth="1"/>
    <col min="9" max="10" width="5" customWidth="1"/>
    <col min="11" max="11" width="1.85546875" customWidth="1"/>
    <col min="12" max="12" width="5.5703125" customWidth="1"/>
    <col min="13" max="13" width="5" customWidth="1"/>
    <col min="14" max="14" width="3.7109375" customWidth="1"/>
    <col min="15" max="15" width="5" customWidth="1"/>
    <col min="16" max="16" width="6.42578125" customWidth="1"/>
  </cols>
  <sheetData>
    <row r="1" spans="1:16" ht="24.6" customHeight="1" x14ac:dyDescent="0.25">
      <c r="A1" s="36" t="s">
        <v>1223</v>
      </c>
      <c r="B1" s="42"/>
      <c r="C1" s="42"/>
      <c r="D1" s="42"/>
      <c r="E1" s="42"/>
      <c r="F1" s="42"/>
      <c r="G1" s="43"/>
      <c r="H1" s="42"/>
      <c r="I1" s="42"/>
      <c r="J1" s="44"/>
      <c r="K1" s="42"/>
      <c r="L1" s="42"/>
      <c r="M1" s="42"/>
      <c r="N1" s="42"/>
      <c r="O1" s="42"/>
      <c r="P1" s="45"/>
    </row>
    <row r="2" spans="1:16" ht="24.6" customHeight="1" thickBot="1" x14ac:dyDescent="0.3">
      <c r="A2" s="33" t="s">
        <v>1224</v>
      </c>
      <c r="B2" s="34" t="s">
        <v>201</v>
      </c>
      <c r="C2" s="35"/>
      <c r="D2" s="46"/>
      <c r="E2" s="46"/>
      <c r="F2" s="46"/>
      <c r="G2" s="47"/>
      <c r="H2" s="35"/>
      <c r="I2" s="37" t="s">
        <v>1225</v>
      </c>
      <c r="J2" s="37">
        <v>12</v>
      </c>
      <c r="K2" s="38"/>
      <c r="L2" s="39" t="s">
        <v>1226</v>
      </c>
      <c r="M2" s="37">
        <v>2</v>
      </c>
      <c r="N2" s="37" t="s">
        <v>56</v>
      </c>
      <c r="O2" s="40" t="s">
        <v>1227</v>
      </c>
      <c r="P2" s="41">
        <v>8</v>
      </c>
    </row>
    <row r="3" spans="1:16" ht="24.6" customHeight="1" thickTop="1" x14ac:dyDescent="0.25">
      <c r="A3" s="29" t="s">
        <v>1229</v>
      </c>
      <c r="B3" s="30"/>
      <c r="C3" s="30"/>
      <c r="D3" s="30"/>
      <c r="E3" s="48"/>
      <c r="F3" s="48"/>
      <c r="G3" s="49"/>
      <c r="H3" s="50"/>
      <c r="I3" s="208" t="s">
        <v>1230</v>
      </c>
      <c r="J3" s="209"/>
      <c r="K3" s="209"/>
      <c r="L3" s="209"/>
      <c r="M3" s="209"/>
      <c r="N3" s="209"/>
      <c r="O3" s="209"/>
      <c r="P3" s="210"/>
    </row>
    <row r="4" spans="1:16" ht="24.6" customHeight="1" x14ac:dyDescent="0.25">
      <c r="A4" s="29" t="s">
        <v>1232</v>
      </c>
      <c r="B4" s="30"/>
      <c r="C4" s="30"/>
      <c r="D4" s="30"/>
      <c r="E4" s="52"/>
      <c r="F4" s="52"/>
      <c r="G4" s="53"/>
      <c r="H4" s="54"/>
      <c r="I4" s="211"/>
      <c r="J4" s="211"/>
      <c r="K4" s="211"/>
      <c r="L4" s="211"/>
      <c r="M4" s="211"/>
      <c r="N4" s="211"/>
      <c r="O4" s="211"/>
      <c r="P4" s="212"/>
    </row>
    <row r="5" spans="1:16" ht="24.6" customHeight="1" x14ac:dyDescent="0.25">
      <c r="A5" s="29" t="s">
        <v>1233</v>
      </c>
      <c r="B5" s="30"/>
      <c r="C5" s="30"/>
      <c r="D5" s="30"/>
      <c r="E5" s="52"/>
      <c r="F5" s="52"/>
      <c r="G5" s="53"/>
      <c r="H5" s="54"/>
      <c r="I5" s="211"/>
      <c r="J5" s="211"/>
      <c r="K5" s="211"/>
      <c r="L5" s="211"/>
      <c r="M5" s="211"/>
      <c r="N5" s="211"/>
      <c r="O5" s="211"/>
      <c r="P5" s="212"/>
    </row>
    <row r="6" spans="1:16" ht="24.6" customHeight="1" x14ac:dyDescent="0.25">
      <c r="A6" s="29" t="s">
        <v>1234</v>
      </c>
      <c r="B6" s="30"/>
      <c r="C6" s="30"/>
      <c r="D6" s="30"/>
      <c r="E6" s="52"/>
      <c r="F6" s="52"/>
      <c r="G6" s="53"/>
      <c r="H6" s="54"/>
      <c r="I6" s="211"/>
      <c r="J6" s="211"/>
      <c r="K6" s="211"/>
      <c r="L6" s="211"/>
      <c r="M6" s="211"/>
      <c r="N6" s="211"/>
      <c r="O6" s="211"/>
      <c r="P6" s="212"/>
    </row>
    <row r="7" spans="1:16" ht="24.6" customHeight="1" x14ac:dyDescent="0.25">
      <c r="A7" s="29" t="s">
        <v>1235</v>
      </c>
      <c r="B7" s="30"/>
      <c r="C7" s="30"/>
      <c r="D7" s="30"/>
      <c r="E7" s="56"/>
      <c r="F7" s="56"/>
      <c r="G7" s="53"/>
      <c r="H7" s="54"/>
      <c r="I7" s="211"/>
      <c r="J7" s="211"/>
      <c r="K7" s="211"/>
      <c r="L7" s="211"/>
      <c r="M7" s="211"/>
      <c r="N7" s="211"/>
      <c r="O7" s="211"/>
      <c r="P7" s="212"/>
    </row>
    <row r="8" spans="1:16" ht="24.6" customHeight="1" thickBot="1" x14ac:dyDescent="0.3">
      <c r="A8" s="31" t="s">
        <v>1236</v>
      </c>
      <c r="B8" s="32"/>
      <c r="C8" s="32"/>
      <c r="D8" s="32"/>
      <c r="E8" s="32"/>
      <c r="F8" s="32"/>
      <c r="G8" s="57"/>
      <c r="H8" s="58"/>
      <c r="I8" s="213"/>
      <c r="J8" s="213"/>
      <c r="K8" s="213"/>
      <c r="L8" s="213"/>
      <c r="M8" s="213"/>
      <c r="N8" s="213"/>
      <c r="O8" s="213"/>
      <c r="P8" s="214"/>
    </row>
    <row r="9" spans="1:16" ht="24.6" customHeight="1" thickTop="1" x14ac:dyDescent="0.25">
      <c r="A9" s="59" t="s">
        <v>1237</v>
      </c>
      <c r="B9" s="60" t="s">
        <v>1161</v>
      </c>
      <c r="C9" s="60"/>
      <c r="D9" s="61"/>
      <c r="E9" s="61"/>
      <c r="F9" s="61"/>
      <c r="G9" s="62"/>
      <c r="H9" s="63"/>
      <c r="I9" s="64" t="s">
        <v>1238</v>
      </c>
      <c r="J9" s="63"/>
      <c r="K9" s="60"/>
      <c r="L9" s="60"/>
      <c r="M9" s="61"/>
      <c r="N9" s="61"/>
      <c r="O9" s="61"/>
      <c r="P9" s="65"/>
    </row>
    <row r="10" spans="1:16" ht="36" customHeight="1" x14ac:dyDescent="0.25">
      <c r="A10" s="30"/>
      <c r="B10" s="30"/>
      <c r="C10" s="30"/>
      <c r="D10" s="30"/>
      <c r="E10" s="30"/>
      <c r="F10" s="30"/>
      <c r="G10" s="30"/>
      <c r="H10" s="30"/>
      <c r="I10" s="30"/>
      <c r="J10" s="30"/>
      <c r="K10" s="30"/>
      <c r="L10" s="30"/>
      <c r="M10" s="30"/>
      <c r="N10" s="30"/>
      <c r="O10" s="30"/>
      <c r="P10" s="30"/>
    </row>
    <row r="11" spans="1:16" ht="24.6" customHeight="1" x14ac:dyDescent="0.25">
      <c r="A11" s="36" t="s">
        <v>1223</v>
      </c>
      <c r="B11" s="42"/>
      <c r="C11" s="42"/>
      <c r="D11" s="42"/>
      <c r="E11" s="42"/>
      <c r="F11" s="42"/>
      <c r="G11" s="43"/>
      <c r="H11" s="42"/>
      <c r="I11" s="42"/>
      <c r="J11" s="44"/>
      <c r="K11" s="42"/>
      <c r="L11" s="42"/>
      <c r="M11" s="42"/>
      <c r="N11" s="42"/>
      <c r="O11" s="42"/>
      <c r="P11" s="45"/>
    </row>
    <row r="12" spans="1:16" ht="24.6" customHeight="1" thickBot="1" x14ac:dyDescent="0.3">
      <c r="A12" s="33" t="s">
        <v>1224</v>
      </c>
      <c r="B12" s="34" t="s">
        <v>119</v>
      </c>
      <c r="C12" s="35"/>
      <c r="D12" s="46"/>
      <c r="E12" s="46"/>
      <c r="F12" s="46"/>
      <c r="G12" s="47"/>
      <c r="H12" s="35"/>
      <c r="I12" s="37" t="s">
        <v>1225</v>
      </c>
      <c r="J12" s="37">
        <v>69</v>
      </c>
      <c r="K12" s="38"/>
      <c r="L12" s="39" t="s">
        <v>1226</v>
      </c>
      <c r="M12" s="37">
        <v>2</v>
      </c>
      <c r="N12" s="37" t="s">
        <v>56</v>
      </c>
      <c r="O12" s="40" t="s">
        <v>1227</v>
      </c>
      <c r="P12" s="41">
        <v>40</v>
      </c>
    </row>
    <row r="13" spans="1:16" ht="24.6" customHeight="1" thickTop="1" x14ac:dyDescent="0.25">
      <c r="A13" s="29" t="s">
        <v>1229</v>
      </c>
      <c r="B13" s="30"/>
      <c r="C13" s="30"/>
      <c r="D13" s="30"/>
      <c r="E13" s="48"/>
      <c r="F13" s="48"/>
      <c r="G13" s="49"/>
      <c r="H13" s="50"/>
      <c r="I13" s="208" t="s">
        <v>1230</v>
      </c>
      <c r="J13" s="209"/>
      <c r="K13" s="209"/>
      <c r="L13" s="209"/>
      <c r="M13" s="209"/>
      <c r="N13" s="209"/>
      <c r="O13" s="209"/>
      <c r="P13" s="210"/>
    </row>
    <row r="14" spans="1:16" ht="24.6" customHeight="1" x14ac:dyDescent="0.25">
      <c r="A14" s="29" t="s">
        <v>1232</v>
      </c>
      <c r="B14" s="30"/>
      <c r="C14" s="30"/>
      <c r="D14" s="30"/>
      <c r="E14" s="52"/>
      <c r="F14" s="52"/>
      <c r="G14" s="53"/>
      <c r="H14" s="54"/>
      <c r="I14" s="211"/>
      <c r="J14" s="211"/>
      <c r="K14" s="211"/>
      <c r="L14" s="211"/>
      <c r="M14" s="211"/>
      <c r="N14" s="211"/>
      <c r="O14" s="211"/>
      <c r="P14" s="212"/>
    </row>
    <row r="15" spans="1:16" ht="24.6" customHeight="1" x14ac:dyDescent="0.25">
      <c r="A15" s="29" t="s">
        <v>1233</v>
      </c>
      <c r="B15" s="30"/>
      <c r="C15" s="30"/>
      <c r="D15" s="30"/>
      <c r="E15" s="52"/>
      <c r="F15" s="52"/>
      <c r="G15" s="53"/>
      <c r="H15" s="54"/>
      <c r="I15" s="211"/>
      <c r="J15" s="211"/>
      <c r="K15" s="211"/>
      <c r="L15" s="211"/>
      <c r="M15" s="211"/>
      <c r="N15" s="211"/>
      <c r="O15" s="211"/>
      <c r="P15" s="212"/>
    </row>
    <row r="16" spans="1:16" ht="24.6" customHeight="1" x14ac:dyDescent="0.25">
      <c r="A16" s="29" t="s">
        <v>1234</v>
      </c>
      <c r="B16" s="30"/>
      <c r="C16" s="30"/>
      <c r="D16" s="30"/>
      <c r="E16" s="52"/>
      <c r="F16" s="52"/>
      <c r="G16" s="53"/>
      <c r="H16" s="54"/>
      <c r="I16" s="211"/>
      <c r="J16" s="211"/>
      <c r="K16" s="211"/>
      <c r="L16" s="211"/>
      <c r="M16" s="211"/>
      <c r="N16" s="211"/>
      <c r="O16" s="211"/>
      <c r="P16" s="212"/>
    </row>
    <row r="17" spans="1:16" ht="24.6" customHeight="1" x14ac:dyDescent="0.25">
      <c r="A17" s="29" t="s">
        <v>1235</v>
      </c>
      <c r="B17" s="30"/>
      <c r="C17" s="30"/>
      <c r="D17" s="30"/>
      <c r="E17" s="56"/>
      <c r="F17" s="56"/>
      <c r="G17" s="53"/>
      <c r="H17" s="54"/>
      <c r="I17" s="211"/>
      <c r="J17" s="211"/>
      <c r="K17" s="211"/>
      <c r="L17" s="211"/>
      <c r="M17" s="211"/>
      <c r="N17" s="211"/>
      <c r="O17" s="211"/>
      <c r="P17" s="212"/>
    </row>
    <row r="18" spans="1:16" ht="24.6" customHeight="1" thickBot="1" x14ac:dyDescent="0.3">
      <c r="A18" s="31" t="s">
        <v>1236</v>
      </c>
      <c r="B18" s="32"/>
      <c r="C18" s="32"/>
      <c r="D18" s="32"/>
      <c r="E18" s="32"/>
      <c r="F18" s="32"/>
      <c r="G18" s="57"/>
      <c r="H18" s="58"/>
      <c r="I18" s="213"/>
      <c r="J18" s="213"/>
      <c r="K18" s="213"/>
      <c r="L18" s="213"/>
      <c r="M18" s="213"/>
      <c r="N18" s="213"/>
      <c r="O18" s="213"/>
      <c r="P18" s="214"/>
    </row>
    <row r="19" spans="1:16" ht="24.6" customHeight="1" thickTop="1" x14ac:dyDescent="0.25">
      <c r="A19" s="59" t="s">
        <v>1237</v>
      </c>
      <c r="B19" s="60" t="s">
        <v>1161</v>
      </c>
      <c r="C19" s="60"/>
      <c r="D19" s="61"/>
      <c r="E19" s="61"/>
      <c r="F19" s="61"/>
      <c r="G19" s="62"/>
      <c r="H19" s="63"/>
      <c r="I19" s="64" t="s">
        <v>1238</v>
      </c>
      <c r="J19" s="63"/>
      <c r="K19" s="60"/>
      <c r="L19" s="60"/>
      <c r="M19" s="61"/>
      <c r="N19" s="61"/>
      <c r="O19" s="61"/>
      <c r="P19" s="65"/>
    </row>
    <row r="20" spans="1:16" ht="36" customHeight="1" x14ac:dyDescent="0.25">
      <c r="A20" s="30"/>
      <c r="B20" s="30"/>
      <c r="C20" s="30"/>
      <c r="D20" s="30"/>
      <c r="E20" s="30"/>
      <c r="F20" s="30"/>
      <c r="G20" s="30"/>
      <c r="H20" s="30"/>
      <c r="I20" s="30"/>
      <c r="J20" s="30"/>
      <c r="K20" s="30"/>
      <c r="L20" s="30"/>
      <c r="M20" s="30"/>
      <c r="N20" s="30"/>
      <c r="O20" s="30"/>
      <c r="P20" s="30"/>
    </row>
    <row r="21" spans="1:16" ht="24.6" customHeight="1" x14ac:dyDescent="0.25">
      <c r="A21" s="36" t="s">
        <v>1223</v>
      </c>
      <c r="B21" s="42"/>
      <c r="C21" s="42"/>
      <c r="D21" s="42"/>
      <c r="E21" s="42"/>
      <c r="F21" s="42"/>
      <c r="G21" s="43"/>
      <c r="H21" s="42"/>
      <c r="I21" s="42"/>
      <c r="J21" s="44"/>
      <c r="K21" s="42"/>
      <c r="L21" s="42"/>
      <c r="M21" s="42"/>
      <c r="N21" s="42"/>
      <c r="O21" s="42"/>
      <c r="P21" s="45"/>
    </row>
    <row r="22" spans="1:16" ht="24.6" customHeight="1" thickBot="1" x14ac:dyDescent="0.3">
      <c r="A22" s="33" t="s">
        <v>1224</v>
      </c>
      <c r="B22" s="34" t="s">
        <v>204</v>
      </c>
      <c r="C22" s="35"/>
      <c r="D22" s="46"/>
      <c r="E22" s="46"/>
      <c r="F22" s="46"/>
      <c r="G22" s="47"/>
      <c r="H22" s="35"/>
      <c r="I22" s="37" t="s">
        <v>1225</v>
      </c>
      <c r="J22" s="37">
        <v>200</v>
      </c>
      <c r="K22" s="38"/>
      <c r="L22" s="39" t="s">
        <v>1226</v>
      </c>
      <c r="M22" s="37">
        <v>2</v>
      </c>
      <c r="N22" s="37" t="s">
        <v>56</v>
      </c>
      <c r="O22" s="40" t="s">
        <v>1227</v>
      </c>
      <c r="P22" s="41">
        <v>125</v>
      </c>
    </row>
    <row r="23" spans="1:16" ht="24.6" customHeight="1" thickTop="1" x14ac:dyDescent="0.25">
      <c r="A23" s="29" t="s">
        <v>1229</v>
      </c>
      <c r="B23" s="30"/>
      <c r="C23" s="30"/>
      <c r="D23" s="30"/>
      <c r="E23" s="48"/>
      <c r="F23" s="48"/>
      <c r="G23" s="49"/>
      <c r="H23" s="50"/>
      <c r="I23" s="208" t="s">
        <v>1230</v>
      </c>
      <c r="J23" s="209"/>
      <c r="K23" s="209"/>
      <c r="L23" s="209"/>
      <c r="M23" s="209"/>
      <c r="N23" s="209"/>
      <c r="O23" s="209"/>
      <c r="P23" s="210"/>
    </row>
    <row r="24" spans="1:16" ht="24.6" customHeight="1" x14ac:dyDescent="0.25">
      <c r="A24" s="29" t="s">
        <v>1232</v>
      </c>
      <c r="B24" s="30"/>
      <c r="C24" s="30"/>
      <c r="D24" s="30"/>
      <c r="E24" s="52"/>
      <c r="F24" s="52"/>
      <c r="G24" s="53"/>
      <c r="H24" s="54"/>
      <c r="I24" s="211"/>
      <c r="J24" s="211"/>
      <c r="K24" s="211"/>
      <c r="L24" s="211"/>
      <c r="M24" s="211"/>
      <c r="N24" s="211"/>
      <c r="O24" s="211"/>
      <c r="P24" s="212"/>
    </row>
    <row r="25" spans="1:16" ht="24.6" customHeight="1" x14ac:dyDescent="0.25">
      <c r="A25" s="29" t="s">
        <v>1233</v>
      </c>
      <c r="B25" s="30"/>
      <c r="C25" s="30"/>
      <c r="D25" s="30"/>
      <c r="E25" s="52"/>
      <c r="F25" s="52"/>
      <c r="G25" s="53"/>
      <c r="H25" s="54"/>
      <c r="I25" s="211"/>
      <c r="J25" s="211"/>
      <c r="K25" s="211"/>
      <c r="L25" s="211"/>
      <c r="M25" s="211"/>
      <c r="N25" s="211"/>
      <c r="O25" s="211"/>
      <c r="P25" s="212"/>
    </row>
    <row r="26" spans="1:16" ht="24.6" customHeight="1" x14ac:dyDescent="0.25">
      <c r="A26" s="29" t="s">
        <v>1234</v>
      </c>
      <c r="B26" s="30"/>
      <c r="C26" s="30"/>
      <c r="D26" s="30"/>
      <c r="E26" s="52"/>
      <c r="F26" s="52"/>
      <c r="G26" s="53"/>
      <c r="H26" s="54"/>
      <c r="I26" s="211"/>
      <c r="J26" s="211"/>
      <c r="K26" s="211"/>
      <c r="L26" s="211"/>
      <c r="M26" s="211"/>
      <c r="N26" s="211"/>
      <c r="O26" s="211"/>
      <c r="P26" s="212"/>
    </row>
    <row r="27" spans="1:16" ht="24.6" customHeight="1" x14ac:dyDescent="0.25">
      <c r="A27" s="29" t="s">
        <v>1235</v>
      </c>
      <c r="B27" s="30"/>
      <c r="C27" s="30"/>
      <c r="D27" s="30"/>
      <c r="E27" s="56"/>
      <c r="F27" s="56"/>
      <c r="G27" s="53"/>
      <c r="H27" s="54"/>
      <c r="I27" s="211"/>
      <c r="J27" s="211"/>
      <c r="K27" s="211"/>
      <c r="L27" s="211"/>
      <c r="M27" s="211"/>
      <c r="N27" s="211"/>
      <c r="O27" s="211"/>
      <c r="P27" s="212"/>
    </row>
    <row r="28" spans="1:16" ht="24.6" customHeight="1" thickBot="1" x14ac:dyDescent="0.3">
      <c r="A28" s="31" t="s">
        <v>1236</v>
      </c>
      <c r="B28" s="32"/>
      <c r="C28" s="32"/>
      <c r="D28" s="32"/>
      <c r="E28" s="32"/>
      <c r="F28" s="32"/>
      <c r="G28" s="57"/>
      <c r="H28" s="58"/>
      <c r="I28" s="213"/>
      <c r="J28" s="213"/>
      <c r="K28" s="213"/>
      <c r="L28" s="213"/>
      <c r="M28" s="213"/>
      <c r="N28" s="213"/>
      <c r="O28" s="213"/>
      <c r="P28" s="214"/>
    </row>
    <row r="29" spans="1:16" ht="24.6" customHeight="1" thickTop="1" x14ac:dyDescent="0.25">
      <c r="A29" s="59" t="s">
        <v>1237</v>
      </c>
      <c r="B29" s="60" t="s">
        <v>1161</v>
      </c>
      <c r="C29" s="60"/>
      <c r="D29" s="61"/>
      <c r="E29" s="61"/>
      <c r="F29" s="61"/>
      <c r="G29" s="62"/>
      <c r="H29" s="63"/>
      <c r="I29" s="64" t="s">
        <v>1238</v>
      </c>
      <c r="J29" s="63"/>
      <c r="K29" s="60"/>
      <c r="L29" s="60"/>
      <c r="M29" s="61"/>
      <c r="N29" s="61"/>
      <c r="O29" s="61"/>
      <c r="P29" s="65"/>
    </row>
    <row r="30" spans="1:16" ht="36" customHeight="1" x14ac:dyDescent="0.25">
      <c r="A30" s="30"/>
      <c r="B30" s="30"/>
      <c r="C30" s="30"/>
      <c r="D30" s="30"/>
      <c r="E30" s="30"/>
      <c r="F30" s="30"/>
      <c r="G30" s="30"/>
      <c r="H30" s="30"/>
      <c r="I30" s="30"/>
      <c r="J30" s="30"/>
      <c r="K30" s="30"/>
      <c r="L30" s="30"/>
      <c r="M30" s="30"/>
      <c r="N30" s="30"/>
      <c r="O30" s="30"/>
      <c r="P30" s="30"/>
    </row>
    <row r="31" spans="1:16" ht="24.6" customHeight="1" x14ac:dyDescent="0.25">
      <c r="A31" s="36" t="s">
        <v>1223</v>
      </c>
      <c r="B31" s="42"/>
      <c r="C31" s="42"/>
      <c r="D31" s="42"/>
      <c r="E31" s="42"/>
      <c r="F31" s="42"/>
      <c r="G31" s="43"/>
      <c r="H31" s="42"/>
      <c r="I31" s="42"/>
      <c r="J31" s="44"/>
      <c r="K31" s="42"/>
      <c r="L31" s="42"/>
      <c r="M31" s="42"/>
      <c r="N31" s="42"/>
      <c r="O31" s="42"/>
      <c r="P31" s="45"/>
    </row>
    <row r="32" spans="1:16" ht="24.6" customHeight="1" thickBot="1" x14ac:dyDescent="0.3">
      <c r="A32" s="33" t="s">
        <v>1224</v>
      </c>
      <c r="B32" s="34" t="s">
        <v>208</v>
      </c>
      <c r="C32" s="35"/>
      <c r="D32" s="46"/>
      <c r="E32" s="46"/>
      <c r="F32" s="46"/>
      <c r="G32" s="47"/>
      <c r="H32" s="35"/>
      <c r="I32" s="37" t="s">
        <v>1225</v>
      </c>
      <c r="J32" s="37">
        <v>267</v>
      </c>
      <c r="K32" s="38"/>
      <c r="L32" s="39" t="s">
        <v>1226</v>
      </c>
      <c r="M32" s="37">
        <v>2</v>
      </c>
      <c r="N32" s="37" t="s">
        <v>56</v>
      </c>
      <c r="O32" s="40" t="s">
        <v>1227</v>
      </c>
      <c r="P32" s="41">
        <v>171</v>
      </c>
    </row>
    <row r="33" spans="1:16" ht="24.6" customHeight="1" thickTop="1" x14ac:dyDescent="0.25">
      <c r="A33" s="29" t="s">
        <v>1229</v>
      </c>
      <c r="B33" s="30"/>
      <c r="C33" s="30"/>
      <c r="D33" s="30"/>
      <c r="E33" s="48"/>
      <c r="F33" s="48"/>
      <c r="G33" s="49"/>
      <c r="H33" s="50"/>
      <c r="I33" s="208" t="s">
        <v>1230</v>
      </c>
      <c r="J33" s="209"/>
      <c r="K33" s="209"/>
      <c r="L33" s="209"/>
      <c r="M33" s="209"/>
      <c r="N33" s="209"/>
      <c r="O33" s="209"/>
      <c r="P33" s="210"/>
    </row>
    <row r="34" spans="1:16" ht="24.6" customHeight="1" x14ac:dyDescent="0.25">
      <c r="A34" s="29" t="s">
        <v>1232</v>
      </c>
      <c r="B34" s="30"/>
      <c r="C34" s="30"/>
      <c r="D34" s="30"/>
      <c r="E34" s="52"/>
      <c r="F34" s="52"/>
      <c r="G34" s="53"/>
      <c r="H34" s="54"/>
      <c r="I34" s="211"/>
      <c r="J34" s="211"/>
      <c r="K34" s="211"/>
      <c r="L34" s="211"/>
      <c r="M34" s="211"/>
      <c r="N34" s="211"/>
      <c r="O34" s="211"/>
      <c r="P34" s="212"/>
    </row>
    <row r="35" spans="1:16" ht="24.6" customHeight="1" x14ac:dyDescent="0.25">
      <c r="A35" s="29" t="s">
        <v>1233</v>
      </c>
      <c r="B35" s="30"/>
      <c r="C35" s="30"/>
      <c r="D35" s="30"/>
      <c r="E35" s="52"/>
      <c r="F35" s="52"/>
      <c r="G35" s="53"/>
      <c r="H35" s="54"/>
      <c r="I35" s="211"/>
      <c r="J35" s="211"/>
      <c r="K35" s="211"/>
      <c r="L35" s="211"/>
      <c r="M35" s="211"/>
      <c r="N35" s="211"/>
      <c r="O35" s="211"/>
      <c r="P35" s="212"/>
    </row>
    <row r="36" spans="1:16" ht="24.6" customHeight="1" x14ac:dyDescent="0.25">
      <c r="A36" s="29" t="s">
        <v>1234</v>
      </c>
      <c r="B36" s="30"/>
      <c r="C36" s="30"/>
      <c r="D36" s="30"/>
      <c r="E36" s="52"/>
      <c r="F36" s="52"/>
      <c r="G36" s="53"/>
      <c r="H36" s="54"/>
      <c r="I36" s="211"/>
      <c r="J36" s="211"/>
      <c r="K36" s="211"/>
      <c r="L36" s="211"/>
      <c r="M36" s="211"/>
      <c r="N36" s="211"/>
      <c r="O36" s="211"/>
      <c r="P36" s="212"/>
    </row>
    <row r="37" spans="1:16" ht="24.6" customHeight="1" x14ac:dyDescent="0.25">
      <c r="A37" s="29" t="s">
        <v>1235</v>
      </c>
      <c r="B37" s="30"/>
      <c r="C37" s="30"/>
      <c r="D37" s="30"/>
      <c r="E37" s="56"/>
      <c r="F37" s="56"/>
      <c r="G37" s="53"/>
      <c r="H37" s="54"/>
      <c r="I37" s="211"/>
      <c r="J37" s="211"/>
      <c r="K37" s="211"/>
      <c r="L37" s="211"/>
      <c r="M37" s="211"/>
      <c r="N37" s="211"/>
      <c r="O37" s="211"/>
      <c r="P37" s="212"/>
    </row>
    <row r="38" spans="1:16" ht="24.6" customHeight="1" thickBot="1" x14ac:dyDescent="0.3">
      <c r="A38" s="31" t="s">
        <v>1236</v>
      </c>
      <c r="B38" s="32"/>
      <c r="C38" s="32"/>
      <c r="D38" s="32"/>
      <c r="E38" s="32"/>
      <c r="F38" s="32"/>
      <c r="G38" s="57"/>
      <c r="H38" s="58"/>
      <c r="I38" s="213"/>
      <c r="J38" s="213"/>
      <c r="K38" s="213"/>
      <c r="L38" s="213"/>
      <c r="M38" s="213"/>
      <c r="N38" s="213"/>
      <c r="O38" s="213"/>
      <c r="P38" s="214"/>
    </row>
    <row r="39" spans="1:16" ht="24.6" customHeight="1" thickTop="1" x14ac:dyDescent="0.25">
      <c r="A39" s="59" t="s">
        <v>1237</v>
      </c>
      <c r="B39" s="60" t="s">
        <v>1161</v>
      </c>
      <c r="C39" s="60"/>
      <c r="D39" s="61"/>
      <c r="E39" s="61"/>
      <c r="F39" s="61"/>
      <c r="G39" s="62"/>
      <c r="H39" s="63"/>
      <c r="I39" s="64" t="s">
        <v>1238</v>
      </c>
      <c r="J39" s="63"/>
      <c r="K39" s="60"/>
      <c r="L39" s="60"/>
      <c r="M39" s="61"/>
      <c r="N39" s="61"/>
      <c r="O39" s="61"/>
      <c r="P39" s="65"/>
    </row>
    <row r="40" spans="1:16" ht="36" customHeight="1" x14ac:dyDescent="0.25">
      <c r="A40" s="30"/>
      <c r="B40" s="30"/>
      <c r="C40" s="30"/>
      <c r="D40" s="30"/>
      <c r="E40" s="30"/>
      <c r="F40" s="30"/>
      <c r="G40" s="30"/>
      <c r="H40" s="30"/>
      <c r="I40" s="30"/>
      <c r="J40" s="30"/>
      <c r="K40" s="30"/>
      <c r="L40" s="30"/>
      <c r="M40" s="30"/>
      <c r="N40" s="30"/>
      <c r="O40" s="30"/>
      <c r="P40" s="30"/>
    </row>
    <row r="41" spans="1:16" ht="24.6" customHeight="1" x14ac:dyDescent="0.25">
      <c r="A41" s="36" t="s">
        <v>1223</v>
      </c>
      <c r="B41" s="42"/>
      <c r="C41" s="42"/>
      <c r="D41" s="42"/>
      <c r="E41" s="42"/>
      <c r="F41" s="42"/>
      <c r="G41" s="43"/>
      <c r="H41" s="42"/>
      <c r="I41" s="42"/>
      <c r="J41" s="44"/>
      <c r="K41" s="42"/>
      <c r="L41" s="42"/>
      <c r="M41" s="42"/>
      <c r="N41" s="42"/>
      <c r="O41" s="42"/>
      <c r="P41" s="45"/>
    </row>
    <row r="42" spans="1:16" ht="24.6" customHeight="1" thickBot="1" x14ac:dyDescent="0.3">
      <c r="A42" s="33" t="s">
        <v>1224</v>
      </c>
      <c r="B42" s="34" t="s">
        <v>213</v>
      </c>
      <c r="C42" s="35"/>
      <c r="D42" s="46"/>
      <c r="E42" s="46"/>
      <c r="F42" s="46"/>
      <c r="G42" s="47"/>
      <c r="H42" s="35"/>
      <c r="I42" s="37" t="s">
        <v>1225</v>
      </c>
      <c r="J42" s="37">
        <v>52</v>
      </c>
      <c r="K42" s="38"/>
      <c r="L42" s="39" t="s">
        <v>1226</v>
      </c>
      <c r="M42" s="37">
        <v>2</v>
      </c>
      <c r="N42" s="37" t="s">
        <v>56</v>
      </c>
      <c r="O42" s="40" t="s">
        <v>1227</v>
      </c>
      <c r="P42" s="41">
        <v>31</v>
      </c>
    </row>
    <row r="43" spans="1:16" ht="24.6" customHeight="1" thickTop="1" x14ac:dyDescent="0.25">
      <c r="A43" s="29" t="s">
        <v>1229</v>
      </c>
      <c r="B43" s="30"/>
      <c r="C43" s="30"/>
      <c r="D43" s="30"/>
      <c r="E43" s="48"/>
      <c r="F43" s="48"/>
      <c r="G43" s="49"/>
      <c r="H43" s="50"/>
      <c r="I43" s="208" t="s">
        <v>1230</v>
      </c>
      <c r="J43" s="209"/>
      <c r="K43" s="209"/>
      <c r="L43" s="209"/>
      <c r="M43" s="209"/>
      <c r="N43" s="209"/>
      <c r="O43" s="209"/>
      <c r="P43" s="210"/>
    </row>
    <row r="44" spans="1:16" ht="24.6" customHeight="1" x14ac:dyDescent="0.25">
      <c r="A44" s="29" t="s">
        <v>1232</v>
      </c>
      <c r="B44" s="30"/>
      <c r="C44" s="30"/>
      <c r="D44" s="30"/>
      <c r="E44" s="52"/>
      <c r="F44" s="52"/>
      <c r="G44" s="53"/>
      <c r="H44" s="54"/>
      <c r="I44" s="211"/>
      <c r="J44" s="211"/>
      <c r="K44" s="211"/>
      <c r="L44" s="211"/>
      <c r="M44" s="211"/>
      <c r="N44" s="211"/>
      <c r="O44" s="211"/>
      <c r="P44" s="212"/>
    </row>
    <row r="45" spans="1:16" ht="24.6" customHeight="1" x14ac:dyDescent="0.25">
      <c r="A45" s="29" t="s">
        <v>1233</v>
      </c>
      <c r="B45" s="30"/>
      <c r="C45" s="30"/>
      <c r="D45" s="30"/>
      <c r="E45" s="52"/>
      <c r="F45" s="52"/>
      <c r="G45" s="53"/>
      <c r="H45" s="54"/>
      <c r="I45" s="211"/>
      <c r="J45" s="211"/>
      <c r="K45" s="211"/>
      <c r="L45" s="211"/>
      <c r="M45" s="211"/>
      <c r="N45" s="211"/>
      <c r="O45" s="211"/>
      <c r="P45" s="212"/>
    </row>
    <row r="46" spans="1:16" ht="24.6" customHeight="1" x14ac:dyDescent="0.25">
      <c r="A46" s="29" t="s">
        <v>1234</v>
      </c>
      <c r="B46" s="30"/>
      <c r="C46" s="30"/>
      <c r="D46" s="30"/>
      <c r="E46" s="52"/>
      <c r="F46" s="52"/>
      <c r="G46" s="53"/>
      <c r="H46" s="54"/>
      <c r="I46" s="211"/>
      <c r="J46" s="211"/>
      <c r="K46" s="211"/>
      <c r="L46" s="211"/>
      <c r="M46" s="211"/>
      <c r="N46" s="211"/>
      <c r="O46" s="211"/>
      <c r="P46" s="212"/>
    </row>
    <row r="47" spans="1:16" ht="24.6" customHeight="1" x14ac:dyDescent="0.25">
      <c r="A47" s="29" t="s">
        <v>1235</v>
      </c>
      <c r="B47" s="30"/>
      <c r="C47" s="30"/>
      <c r="D47" s="30"/>
      <c r="E47" s="56"/>
      <c r="F47" s="56"/>
      <c r="G47" s="53"/>
      <c r="H47" s="54"/>
      <c r="I47" s="211"/>
      <c r="J47" s="211"/>
      <c r="K47" s="211"/>
      <c r="L47" s="211"/>
      <c r="M47" s="211"/>
      <c r="N47" s="211"/>
      <c r="O47" s="211"/>
      <c r="P47" s="212"/>
    </row>
    <row r="48" spans="1:16" ht="24.6" customHeight="1" thickBot="1" x14ac:dyDescent="0.3">
      <c r="A48" s="31" t="s">
        <v>1236</v>
      </c>
      <c r="B48" s="32"/>
      <c r="C48" s="32"/>
      <c r="D48" s="32"/>
      <c r="E48" s="32"/>
      <c r="F48" s="32"/>
      <c r="G48" s="57"/>
      <c r="H48" s="58"/>
      <c r="I48" s="213"/>
      <c r="J48" s="213"/>
      <c r="K48" s="213"/>
      <c r="L48" s="213"/>
      <c r="M48" s="213"/>
      <c r="N48" s="213"/>
      <c r="O48" s="213"/>
      <c r="P48" s="214"/>
    </row>
    <row r="49" spans="1:16" ht="24.6" customHeight="1" thickTop="1" x14ac:dyDescent="0.25">
      <c r="A49" s="59" t="s">
        <v>1237</v>
      </c>
      <c r="B49" s="60" t="s">
        <v>1161</v>
      </c>
      <c r="C49" s="60"/>
      <c r="D49" s="61"/>
      <c r="E49" s="61"/>
      <c r="F49" s="61"/>
      <c r="G49" s="62"/>
      <c r="H49" s="63"/>
      <c r="I49" s="64" t="s">
        <v>1238</v>
      </c>
      <c r="J49" s="63"/>
      <c r="K49" s="60"/>
      <c r="L49" s="60"/>
      <c r="M49" s="61"/>
      <c r="N49" s="61"/>
      <c r="O49" s="61"/>
      <c r="P49" s="65"/>
    </row>
    <row r="50" spans="1:16" ht="36" customHeight="1" x14ac:dyDescent="0.25">
      <c r="A50" s="30"/>
      <c r="B50" s="30"/>
      <c r="C50" s="30"/>
      <c r="D50" s="30"/>
      <c r="E50" s="30"/>
      <c r="F50" s="30"/>
      <c r="G50" s="30"/>
      <c r="H50" s="30"/>
      <c r="I50" s="30"/>
      <c r="J50" s="30"/>
      <c r="K50" s="30"/>
      <c r="L50" s="30"/>
      <c r="M50" s="30"/>
      <c r="N50" s="30"/>
      <c r="O50" s="30"/>
      <c r="P50" s="30"/>
    </row>
    <row r="51" spans="1:16" ht="24.6" customHeight="1" x14ac:dyDescent="0.25">
      <c r="A51" s="36" t="s">
        <v>1223</v>
      </c>
      <c r="B51" s="42"/>
      <c r="C51" s="42"/>
      <c r="D51" s="42"/>
      <c r="E51" s="42"/>
      <c r="F51" s="42"/>
      <c r="G51" s="43"/>
      <c r="H51" s="42"/>
      <c r="I51" s="42"/>
      <c r="J51" s="44"/>
      <c r="K51" s="42"/>
      <c r="L51" s="42"/>
      <c r="M51" s="42"/>
      <c r="N51" s="42"/>
      <c r="O51" s="42"/>
      <c r="P51" s="45"/>
    </row>
    <row r="52" spans="1:16" ht="24.6" customHeight="1" thickBot="1" x14ac:dyDescent="0.3">
      <c r="A52" s="33" t="s">
        <v>1224</v>
      </c>
      <c r="B52" s="34" t="s">
        <v>218</v>
      </c>
      <c r="C52" s="35"/>
      <c r="D52" s="46"/>
      <c r="E52" s="46"/>
      <c r="F52" s="46"/>
      <c r="G52" s="47"/>
      <c r="H52" s="35"/>
      <c r="I52" s="37" t="s">
        <v>1225</v>
      </c>
      <c r="J52" s="37">
        <v>257</v>
      </c>
      <c r="K52" s="38"/>
      <c r="L52" s="39" t="s">
        <v>1226</v>
      </c>
      <c r="M52" s="37">
        <v>2</v>
      </c>
      <c r="N52" s="37" t="s">
        <v>56</v>
      </c>
      <c r="O52" s="40" t="s">
        <v>1227</v>
      </c>
      <c r="P52" s="41">
        <v>164</v>
      </c>
    </row>
    <row r="53" spans="1:16" ht="24.6" customHeight="1" thickTop="1" x14ac:dyDescent="0.25">
      <c r="A53" s="29" t="s">
        <v>1229</v>
      </c>
      <c r="B53" s="30"/>
      <c r="C53" s="30"/>
      <c r="D53" s="30"/>
      <c r="E53" s="48"/>
      <c r="F53" s="48"/>
      <c r="G53" s="49"/>
      <c r="H53" s="50"/>
      <c r="I53" s="208" t="s">
        <v>1230</v>
      </c>
      <c r="J53" s="209"/>
      <c r="K53" s="209"/>
      <c r="L53" s="209"/>
      <c r="M53" s="209"/>
      <c r="N53" s="209"/>
      <c r="O53" s="209"/>
      <c r="P53" s="210"/>
    </row>
    <row r="54" spans="1:16" ht="24.6" customHeight="1" x14ac:dyDescent="0.25">
      <c r="A54" s="29" t="s">
        <v>1232</v>
      </c>
      <c r="B54" s="30"/>
      <c r="C54" s="30"/>
      <c r="D54" s="30"/>
      <c r="E54" s="52"/>
      <c r="F54" s="52"/>
      <c r="G54" s="53"/>
      <c r="H54" s="54"/>
      <c r="I54" s="211"/>
      <c r="J54" s="211"/>
      <c r="K54" s="211"/>
      <c r="L54" s="211"/>
      <c r="M54" s="211"/>
      <c r="N54" s="211"/>
      <c r="O54" s="211"/>
      <c r="P54" s="212"/>
    </row>
    <row r="55" spans="1:16" ht="24.6" customHeight="1" x14ac:dyDescent="0.25">
      <c r="A55" s="29" t="s">
        <v>1233</v>
      </c>
      <c r="B55" s="30"/>
      <c r="C55" s="30"/>
      <c r="D55" s="30"/>
      <c r="E55" s="52"/>
      <c r="F55" s="52"/>
      <c r="G55" s="53"/>
      <c r="H55" s="54"/>
      <c r="I55" s="211"/>
      <c r="J55" s="211"/>
      <c r="K55" s="211"/>
      <c r="L55" s="211"/>
      <c r="M55" s="211"/>
      <c r="N55" s="211"/>
      <c r="O55" s="211"/>
      <c r="P55" s="212"/>
    </row>
    <row r="56" spans="1:16" ht="24.6" customHeight="1" x14ac:dyDescent="0.25">
      <c r="A56" s="29" t="s">
        <v>1234</v>
      </c>
      <c r="B56" s="30"/>
      <c r="C56" s="30"/>
      <c r="D56" s="30"/>
      <c r="E56" s="52"/>
      <c r="F56" s="52"/>
      <c r="G56" s="53"/>
      <c r="H56" s="54"/>
      <c r="I56" s="211"/>
      <c r="J56" s="211"/>
      <c r="K56" s="211"/>
      <c r="L56" s="211"/>
      <c r="M56" s="211"/>
      <c r="N56" s="211"/>
      <c r="O56" s="211"/>
      <c r="P56" s="212"/>
    </row>
    <row r="57" spans="1:16" ht="24.6" customHeight="1" x14ac:dyDescent="0.25">
      <c r="A57" s="29" t="s">
        <v>1235</v>
      </c>
      <c r="B57" s="30"/>
      <c r="C57" s="30"/>
      <c r="D57" s="30"/>
      <c r="E57" s="56"/>
      <c r="F57" s="56"/>
      <c r="G57" s="53"/>
      <c r="H57" s="54"/>
      <c r="I57" s="211"/>
      <c r="J57" s="211"/>
      <c r="K57" s="211"/>
      <c r="L57" s="211"/>
      <c r="M57" s="211"/>
      <c r="N57" s="211"/>
      <c r="O57" s="211"/>
      <c r="P57" s="212"/>
    </row>
    <row r="58" spans="1:16" ht="24.6" customHeight="1" thickBot="1" x14ac:dyDescent="0.3">
      <c r="A58" s="31" t="s">
        <v>1236</v>
      </c>
      <c r="B58" s="32"/>
      <c r="C58" s="32"/>
      <c r="D58" s="32"/>
      <c r="E58" s="32"/>
      <c r="F58" s="32"/>
      <c r="G58" s="57"/>
      <c r="H58" s="58"/>
      <c r="I58" s="213"/>
      <c r="J58" s="213"/>
      <c r="K58" s="213"/>
      <c r="L58" s="213"/>
      <c r="M58" s="213"/>
      <c r="N58" s="213"/>
      <c r="O58" s="213"/>
      <c r="P58" s="214"/>
    </row>
    <row r="59" spans="1:16" ht="24.6" customHeight="1" thickTop="1" x14ac:dyDescent="0.25">
      <c r="A59" s="59" t="s">
        <v>1237</v>
      </c>
      <c r="B59" s="60" t="s">
        <v>1161</v>
      </c>
      <c r="C59" s="60"/>
      <c r="D59" s="61"/>
      <c r="E59" s="61"/>
      <c r="F59" s="61"/>
      <c r="G59" s="62"/>
      <c r="H59" s="63"/>
      <c r="I59" s="64" t="s">
        <v>1238</v>
      </c>
      <c r="J59" s="63"/>
      <c r="K59" s="60"/>
      <c r="L59" s="60"/>
      <c r="M59" s="61"/>
      <c r="N59" s="61"/>
      <c r="O59" s="61"/>
      <c r="P59" s="65"/>
    </row>
    <row r="60" spans="1:16" ht="36" customHeight="1" x14ac:dyDescent="0.25">
      <c r="A60" s="30"/>
      <c r="B60" s="30"/>
      <c r="C60" s="30"/>
      <c r="D60" s="30"/>
      <c r="E60" s="30"/>
      <c r="F60" s="30"/>
      <c r="G60" s="30"/>
      <c r="H60" s="30"/>
      <c r="I60" s="30"/>
      <c r="J60" s="30"/>
      <c r="K60" s="30"/>
      <c r="L60" s="30"/>
      <c r="M60" s="30"/>
      <c r="N60" s="30"/>
      <c r="O60" s="30"/>
      <c r="P60" s="30"/>
    </row>
    <row r="61" spans="1:16" ht="24.6" customHeight="1" x14ac:dyDescent="0.25">
      <c r="A61" s="36" t="s">
        <v>1223</v>
      </c>
      <c r="B61" s="42"/>
      <c r="C61" s="42"/>
      <c r="D61" s="42"/>
      <c r="E61" s="42"/>
      <c r="F61" s="42"/>
      <c r="G61" s="43"/>
      <c r="H61" s="42"/>
      <c r="I61" s="42"/>
      <c r="J61" s="44"/>
      <c r="K61" s="42"/>
      <c r="L61" s="42"/>
      <c r="M61" s="42"/>
      <c r="N61" s="42"/>
      <c r="O61" s="42"/>
      <c r="P61" s="45"/>
    </row>
    <row r="62" spans="1:16" ht="24.6" customHeight="1" thickBot="1" x14ac:dyDescent="0.3">
      <c r="A62" s="33" t="s">
        <v>1224</v>
      </c>
      <c r="B62" s="34" t="s">
        <v>222</v>
      </c>
      <c r="C62" s="35"/>
      <c r="D62" s="46"/>
      <c r="E62" s="46"/>
      <c r="F62" s="46"/>
      <c r="G62" s="47"/>
      <c r="H62" s="35"/>
      <c r="I62" s="37" t="s">
        <v>1225</v>
      </c>
      <c r="J62" s="37">
        <v>67</v>
      </c>
      <c r="K62" s="38"/>
      <c r="L62" s="39" t="s">
        <v>1226</v>
      </c>
      <c r="M62" s="37">
        <v>2</v>
      </c>
      <c r="N62" s="37" t="s">
        <v>56</v>
      </c>
      <c r="O62" s="40" t="s">
        <v>1227</v>
      </c>
      <c r="P62" s="41">
        <v>39</v>
      </c>
    </row>
    <row r="63" spans="1:16" ht="24.6" customHeight="1" thickTop="1" x14ac:dyDescent="0.25">
      <c r="A63" s="29" t="s">
        <v>1229</v>
      </c>
      <c r="B63" s="30"/>
      <c r="C63" s="30"/>
      <c r="D63" s="30"/>
      <c r="E63" s="48"/>
      <c r="F63" s="48"/>
      <c r="G63" s="49"/>
      <c r="H63" s="50"/>
      <c r="I63" s="208" t="s">
        <v>1230</v>
      </c>
      <c r="J63" s="209"/>
      <c r="K63" s="209"/>
      <c r="L63" s="209"/>
      <c r="M63" s="209"/>
      <c r="N63" s="209"/>
      <c r="O63" s="209"/>
      <c r="P63" s="210"/>
    </row>
    <row r="64" spans="1:16" ht="24.6" customHeight="1" x14ac:dyDescent="0.25">
      <c r="A64" s="29" t="s">
        <v>1232</v>
      </c>
      <c r="B64" s="30"/>
      <c r="C64" s="30"/>
      <c r="D64" s="30"/>
      <c r="E64" s="52"/>
      <c r="F64" s="52"/>
      <c r="G64" s="53"/>
      <c r="H64" s="54"/>
      <c r="I64" s="211"/>
      <c r="J64" s="211"/>
      <c r="K64" s="211"/>
      <c r="L64" s="211"/>
      <c r="M64" s="211"/>
      <c r="N64" s="211"/>
      <c r="O64" s="211"/>
      <c r="P64" s="212"/>
    </row>
    <row r="65" spans="1:16" ht="24.6" customHeight="1" x14ac:dyDescent="0.25">
      <c r="A65" s="29" t="s">
        <v>1233</v>
      </c>
      <c r="B65" s="30"/>
      <c r="C65" s="30"/>
      <c r="D65" s="30"/>
      <c r="E65" s="52"/>
      <c r="F65" s="52"/>
      <c r="G65" s="53"/>
      <c r="H65" s="54"/>
      <c r="I65" s="211"/>
      <c r="J65" s="211"/>
      <c r="K65" s="211"/>
      <c r="L65" s="211"/>
      <c r="M65" s="211"/>
      <c r="N65" s="211"/>
      <c r="O65" s="211"/>
      <c r="P65" s="212"/>
    </row>
    <row r="66" spans="1:16" ht="24.6" customHeight="1" x14ac:dyDescent="0.25">
      <c r="A66" s="29" t="s">
        <v>1234</v>
      </c>
      <c r="B66" s="30"/>
      <c r="C66" s="30"/>
      <c r="D66" s="30"/>
      <c r="E66" s="52"/>
      <c r="F66" s="52"/>
      <c r="G66" s="53"/>
      <c r="H66" s="54"/>
      <c r="I66" s="211"/>
      <c r="J66" s="211"/>
      <c r="K66" s="211"/>
      <c r="L66" s="211"/>
      <c r="M66" s="211"/>
      <c r="N66" s="211"/>
      <c r="O66" s="211"/>
      <c r="P66" s="212"/>
    </row>
    <row r="67" spans="1:16" ht="24.6" customHeight="1" x14ac:dyDescent="0.25">
      <c r="A67" s="29" t="s">
        <v>1235</v>
      </c>
      <c r="B67" s="30"/>
      <c r="C67" s="30"/>
      <c r="D67" s="30"/>
      <c r="E67" s="56"/>
      <c r="F67" s="56"/>
      <c r="G67" s="53"/>
      <c r="H67" s="54"/>
      <c r="I67" s="211"/>
      <c r="J67" s="211"/>
      <c r="K67" s="211"/>
      <c r="L67" s="211"/>
      <c r="M67" s="211"/>
      <c r="N67" s="211"/>
      <c r="O67" s="211"/>
      <c r="P67" s="212"/>
    </row>
    <row r="68" spans="1:16" ht="24.6" customHeight="1" thickBot="1" x14ac:dyDescent="0.3">
      <c r="A68" s="31" t="s">
        <v>1236</v>
      </c>
      <c r="B68" s="32"/>
      <c r="C68" s="32"/>
      <c r="D68" s="32"/>
      <c r="E68" s="32"/>
      <c r="F68" s="32"/>
      <c r="G68" s="57"/>
      <c r="H68" s="58"/>
      <c r="I68" s="213"/>
      <c r="J68" s="213"/>
      <c r="K68" s="213"/>
      <c r="L68" s="213"/>
      <c r="M68" s="213"/>
      <c r="N68" s="213"/>
      <c r="O68" s="213"/>
      <c r="P68" s="214"/>
    </row>
    <row r="69" spans="1:16" ht="24.6" customHeight="1" thickTop="1" x14ac:dyDescent="0.25">
      <c r="A69" s="59" t="s">
        <v>1237</v>
      </c>
      <c r="B69" s="60" t="s">
        <v>1161</v>
      </c>
      <c r="C69" s="60"/>
      <c r="D69" s="61"/>
      <c r="E69" s="61"/>
      <c r="F69" s="61"/>
      <c r="G69" s="62"/>
      <c r="H69" s="63"/>
      <c r="I69" s="64" t="s">
        <v>1238</v>
      </c>
      <c r="J69" s="63"/>
      <c r="K69" s="60"/>
      <c r="L69" s="60"/>
      <c r="M69" s="61"/>
      <c r="N69" s="61"/>
      <c r="O69" s="61"/>
      <c r="P69" s="65"/>
    </row>
    <row r="70" spans="1:16" ht="36" customHeight="1" x14ac:dyDescent="0.25">
      <c r="A70" s="30"/>
      <c r="B70" s="30"/>
      <c r="C70" s="30"/>
      <c r="D70" s="30"/>
      <c r="E70" s="30"/>
      <c r="F70" s="30"/>
      <c r="G70" s="30"/>
      <c r="H70" s="30"/>
      <c r="I70" s="30"/>
      <c r="J70" s="30"/>
      <c r="K70" s="30"/>
      <c r="L70" s="30"/>
      <c r="M70" s="30"/>
      <c r="N70" s="30"/>
      <c r="O70" s="30"/>
      <c r="P70" s="30"/>
    </row>
    <row r="71" spans="1:16" ht="24.6" customHeight="1" x14ac:dyDescent="0.25">
      <c r="A71" s="36" t="s">
        <v>1223</v>
      </c>
      <c r="B71" s="42"/>
      <c r="C71" s="42"/>
      <c r="D71" s="42"/>
      <c r="E71" s="42"/>
      <c r="F71" s="42"/>
      <c r="G71" s="43"/>
      <c r="H71" s="42"/>
      <c r="I71" s="42"/>
      <c r="J71" s="44"/>
      <c r="K71" s="42"/>
      <c r="L71" s="42"/>
      <c r="M71" s="42"/>
      <c r="N71" s="42"/>
      <c r="O71" s="42"/>
      <c r="P71" s="45"/>
    </row>
    <row r="72" spans="1:16" ht="24.6" customHeight="1" thickBot="1" x14ac:dyDescent="0.3">
      <c r="A72" s="33" t="s">
        <v>1224</v>
      </c>
      <c r="B72" s="34" t="s">
        <v>227</v>
      </c>
      <c r="C72" s="35"/>
      <c r="D72" s="46"/>
      <c r="E72" s="46"/>
      <c r="F72" s="46"/>
      <c r="G72" s="47"/>
      <c r="H72" s="35"/>
      <c r="I72" s="37" t="s">
        <v>1225</v>
      </c>
      <c r="J72" s="37">
        <v>125</v>
      </c>
      <c r="K72" s="38"/>
      <c r="L72" s="39" t="s">
        <v>1226</v>
      </c>
      <c r="M72" s="37">
        <v>2</v>
      </c>
      <c r="N72" s="37" t="s">
        <v>56</v>
      </c>
      <c r="O72" s="40" t="s">
        <v>1227</v>
      </c>
      <c r="P72" s="41">
        <v>77</v>
      </c>
    </row>
    <row r="73" spans="1:16" ht="24.6" customHeight="1" thickTop="1" x14ac:dyDescent="0.25">
      <c r="A73" s="29" t="s">
        <v>1229</v>
      </c>
      <c r="B73" s="30"/>
      <c r="C73" s="30"/>
      <c r="D73" s="30"/>
      <c r="E73" s="48"/>
      <c r="F73" s="48"/>
      <c r="G73" s="49"/>
      <c r="H73" s="50"/>
      <c r="I73" s="208" t="s">
        <v>1230</v>
      </c>
      <c r="J73" s="209"/>
      <c r="K73" s="209"/>
      <c r="L73" s="209"/>
      <c r="M73" s="209"/>
      <c r="N73" s="209"/>
      <c r="O73" s="209"/>
      <c r="P73" s="210"/>
    </row>
    <row r="74" spans="1:16" ht="24.6" customHeight="1" x14ac:dyDescent="0.25">
      <c r="A74" s="29" t="s">
        <v>1232</v>
      </c>
      <c r="B74" s="30"/>
      <c r="C74" s="30"/>
      <c r="D74" s="30"/>
      <c r="E74" s="52"/>
      <c r="F74" s="52"/>
      <c r="G74" s="53"/>
      <c r="H74" s="54"/>
      <c r="I74" s="211"/>
      <c r="J74" s="211"/>
      <c r="K74" s="211"/>
      <c r="L74" s="211"/>
      <c r="M74" s="211"/>
      <c r="N74" s="211"/>
      <c r="O74" s="211"/>
      <c r="P74" s="212"/>
    </row>
    <row r="75" spans="1:16" ht="24.6" customHeight="1" x14ac:dyDescent="0.25">
      <c r="A75" s="29" t="s">
        <v>1233</v>
      </c>
      <c r="B75" s="30"/>
      <c r="C75" s="30"/>
      <c r="D75" s="30"/>
      <c r="E75" s="52"/>
      <c r="F75" s="52"/>
      <c r="G75" s="53"/>
      <c r="H75" s="54"/>
      <c r="I75" s="211"/>
      <c r="J75" s="211"/>
      <c r="K75" s="211"/>
      <c r="L75" s="211"/>
      <c r="M75" s="211"/>
      <c r="N75" s="211"/>
      <c r="O75" s="211"/>
      <c r="P75" s="212"/>
    </row>
    <row r="76" spans="1:16" ht="24.6" customHeight="1" x14ac:dyDescent="0.25">
      <c r="A76" s="29" t="s">
        <v>1234</v>
      </c>
      <c r="B76" s="30"/>
      <c r="C76" s="30"/>
      <c r="D76" s="30"/>
      <c r="E76" s="52"/>
      <c r="F76" s="52"/>
      <c r="G76" s="53"/>
      <c r="H76" s="54"/>
      <c r="I76" s="211"/>
      <c r="J76" s="211"/>
      <c r="K76" s="211"/>
      <c r="L76" s="211"/>
      <c r="M76" s="211"/>
      <c r="N76" s="211"/>
      <c r="O76" s="211"/>
      <c r="P76" s="212"/>
    </row>
    <row r="77" spans="1:16" ht="24.6" customHeight="1" x14ac:dyDescent="0.25">
      <c r="A77" s="29" t="s">
        <v>1235</v>
      </c>
      <c r="B77" s="30"/>
      <c r="C77" s="30"/>
      <c r="D77" s="30"/>
      <c r="E77" s="56"/>
      <c r="F77" s="56"/>
      <c r="G77" s="53"/>
      <c r="H77" s="54"/>
      <c r="I77" s="211"/>
      <c r="J77" s="211"/>
      <c r="K77" s="211"/>
      <c r="L77" s="211"/>
      <c r="M77" s="211"/>
      <c r="N77" s="211"/>
      <c r="O77" s="211"/>
      <c r="P77" s="212"/>
    </row>
    <row r="78" spans="1:16" ht="24.6" customHeight="1" thickBot="1" x14ac:dyDescent="0.3">
      <c r="A78" s="31" t="s">
        <v>1236</v>
      </c>
      <c r="B78" s="32"/>
      <c r="C78" s="32"/>
      <c r="D78" s="32"/>
      <c r="E78" s="32"/>
      <c r="F78" s="32"/>
      <c r="G78" s="57"/>
      <c r="H78" s="58"/>
      <c r="I78" s="213"/>
      <c r="J78" s="213"/>
      <c r="K78" s="213"/>
      <c r="L78" s="213"/>
      <c r="M78" s="213"/>
      <c r="N78" s="213"/>
      <c r="O78" s="213"/>
      <c r="P78" s="214"/>
    </row>
    <row r="79" spans="1:16" ht="24.6" customHeight="1" thickTop="1" x14ac:dyDescent="0.25">
      <c r="A79" s="59" t="s">
        <v>1237</v>
      </c>
      <c r="B79" s="60" t="s">
        <v>1161</v>
      </c>
      <c r="C79" s="60"/>
      <c r="D79" s="61"/>
      <c r="E79" s="61"/>
      <c r="F79" s="61"/>
      <c r="G79" s="62"/>
      <c r="H79" s="63"/>
      <c r="I79" s="64" t="s">
        <v>1238</v>
      </c>
      <c r="J79" s="63"/>
      <c r="K79" s="60"/>
      <c r="L79" s="60"/>
      <c r="M79" s="61"/>
      <c r="N79" s="61"/>
      <c r="O79" s="61"/>
      <c r="P79" s="65"/>
    </row>
    <row r="80" spans="1:16" ht="36" customHeight="1" x14ac:dyDescent="0.25">
      <c r="A80" s="30"/>
      <c r="B80" s="30"/>
      <c r="C80" s="30"/>
      <c r="D80" s="30"/>
      <c r="E80" s="30"/>
      <c r="F80" s="30"/>
      <c r="G80" s="30"/>
      <c r="H80" s="30"/>
      <c r="I80" s="30"/>
      <c r="J80" s="30"/>
      <c r="K80" s="30"/>
      <c r="L80" s="30"/>
      <c r="M80" s="30"/>
      <c r="N80" s="30"/>
      <c r="O80" s="30"/>
      <c r="P80" s="30"/>
    </row>
    <row r="81" spans="1:16" ht="24.6" customHeight="1" x14ac:dyDescent="0.25">
      <c r="A81" s="36" t="s">
        <v>1223</v>
      </c>
      <c r="B81" s="42"/>
      <c r="C81" s="42"/>
      <c r="D81" s="42"/>
      <c r="E81" s="42"/>
      <c r="F81" s="42"/>
      <c r="G81" s="43"/>
      <c r="H81" s="42"/>
      <c r="I81" s="42"/>
      <c r="J81" s="44"/>
      <c r="K81" s="42"/>
      <c r="L81" s="42"/>
      <c r="M81" s="42"/>
      <c r="N81" s="42"/>
      <c r="O81" s="42"/>
      <c r="P81" s="45"/>
    </row>
    <row r="82" spans="1:16" ht="24.6" customHeight="1" thickBot="1" x14ac:dyDescent="0.3">
      <c r="A82" s="33" t="s">
        <v>1224</v>
      </c>
      <c r="B82" s="34" t="s">
        <v>230</v>
      </c>
      <c r="C82" s="35"/>
      <c r="D82" s="46"/>
      <c r="E82" s="46"/>
      <c r="F82" s="46"/>
      <c r="G82" s="47"/>
      <c r="H82" s="35"/>
      <c r="I82" s="37" t="s">
        <v>1225</v>
      </c>
      <c r="J82" s="37">
        <v>300</v>
      </c>
      <c r="K82" s="38"/>
      <c r="L82" s="39" t="s">
        <v>1226</v>
      </c>
      <c r="M82" s="37">
        <v>2</v>
      </c>
      <c r="N82" s="37" t="s">
        <v>56</v>
      </c>
      <c r="O82" s="40" t="s">
        <v>1227</v>
      </c>
      <c r="P82" s="41">
        <v>187</v>
      </c>
    </row>
    <row r="83" spans="1:16" ht="24.6" customHeight="1" thickTop="1" x14ac:dyDescent="0.25">
      <c r="A83" s="29" t="s">
        <v>1229</v>
      </c>
      <c r="B83" s="30"/>
      <c r="C83" s="30"/>
      <c r="D83" s="30"/>
      <c r="E83" s="48"/>
      <c r="F83" s="48"/>
      <c r="G83" s="49"/>
      <c r="H83" s="50"/>
      <c r="I83" s="208" t="s">
        <v>1230</v>
      </c>
      <c r="J83" s="209"/>
      <c r="K83" s="209"/>
      <c r="L83" s="209"/>
      <c r="M83" s="209"/>
      <c r="N83" s="209"/>
      <c r="O83" s="209"/>
      <c r="P83" s="210"/>
    </row>
    <row r="84" spans="1:16" ht="24.6" customHeight="1" x14ac:dyDescent="0.25">
      <c r="A84" s="29" t="s">
        <v>1232</v>
      </c>
      <c r="B84" s="30"/>
      <c r="C84" s="30"/>
      <c r="D84" s="30"/>
      <c r="E84" s="52"/>
      <c r="F84" s="52"/>
      <c r="G84" s="53"/>
      <c r="H84" s="54"/>
      <c r="I84" s="211"/>
      <c r="J84" s="211"/>
      <c r="K84" s="211"/>
      <c r="L84" s="211"/>
      <c r="M84" s="211"/>
      <c r="N84" s="211"/>
      <c r="O84" s="211"/>
      <c r="P84" s="212"/>
    </row>
    <row r="85" spans="1:16" ht="24.6" customHeight="1" x14ac:dyDescent="0.25">
      <c r="A85" s="29" t="s">
        <v>1233</v>
      </c>
      <c r="B85" s="30"/>
      <c r="C85" s="30"/>
      <c r="D85" s="30"/>
      <c r="E85" s="52"/>
      <c r="F85" s="52"/>
      <c r="G85" s="53"/>
      <c r="H85" s="54"/>
      <c r="I85" s="211"/>
      <c r="J85" s="211"/>
      <c r="K85" s="211"/>
      <c r="L85" s="211"/>
      <c r="M85" s="211"/>
      <c r="N85" s="211"/>
      <c r="O85" s="211"/>
      <c r="P85" s="212"/>
    </row>
    <row r="86" spans="1:16" ht="24.6" customHeight="1" x14ac:dyDescent="0.25">
      <c r="A86" s="29" t="s">
        <v>1234</v>
      </c>
      <c r="B86" s="30"/>
      <c r="C86" s="30"/>
      <c r="D86" s="30"/>
      <c r="E86" s="52"/>
      <c r="F86" s="52"/>
      <c r="G86" s="53"/>
      <c r="H86" s="54"/>
      <c r="I86" s="211"/>
      <c r="J86" s="211"/>
      <c r="K86" s="211"/>
      <c r="L86" s="211"/>
      <c r="M86" s="211"/>
      <c r="N86" s="211"/>
      <c r="O86" s="211"/>
      <c r="P86" s="212"/>
    </row>
    <row r="87" spans="1:16" ht="24.6" customHeight="1" x14ac:dyDescent="0.25">
      <c r="A87" s="29" t="s">
        <v>1235</v>
      </c>
      <c r="B87" s="30"/>
      <c r="C87" s="30"/>
      <c r="D87" s="30"/>
      <c r="E87" s="56"/>
      <c r="F87" s="56"/>
      <c r="G87" s="53"/>
      <c r="H87" s="54"/>
      <c r="I87" s="211"/>
      <c r="J87" s="211"/>
      <c r="K87" s="211"/>
      <c r="L87" s="211"/>
      <c r="M87" s="211"/>
      <c r="N87" s="211"/>
      <c r="O87" s="211"/>
      <c r="P87" s="212"/>
    </row>
    <row r="88" spans="1:16" ht="24.6" customHeight="1" thickBot="1" x14ac:dyDescent="0.3">
      <c r="A88" s="31" t="s">
        <v>1236</v>
      </c>
      <c r="B88" s="32"/>
      <c r="C88" s="32"/>
      <c r="D88" s="32"/>
      <c r="E88" s="32"/>
      <c r="F88" s="32"/>
      <c r="G88" s="57"/>
      <c r="H88" s="58"/>
      <c r="I88" s="213"/>
      <c r="J88" s="213"/>
      <c r="K88" s="213"/>
      <c r="L88" s="213"/>
      <c r="M88" s="213"/>
      <c r="N88" s="213"/>
      <c r="O88" s="213"/>
      <c r="P88" s="214"/>
    </row>
    <row r="89" spans="1:16" ht="24.6" customHeight="1" thickTop="1" x14ac:dyDescent="0.25">
      <c r="A89" s="59" t="s">
        <v>1237</v>
      </c>
      <c r="B89" s="60" t="s">
        <v>1161</v>
      </c>
      <c r="C89" s="60"/>
      <c r="D89" s="61"/>
      <c r="E89" s="61"/>
      <c r="F89" s="61"/>
      <c r="G89" s="62"/>
      <c r="H89" s="63"/>
      <c r="I89" s="64" t="s">
        <v>1238</v>
      </c>
      <c r="J89" s="63"/>
      <c r="K89" s="60"/>
      <c r="L89" s="60"/>
      <c r="M89" s="61"/>
      <c r="N89" s="61"/>
      <c r="O89" s="61"/>
      <c r="P89" s="65"/>
    </row>
    <row r="90" spans="1:16" ht="36" customHeight="1" x14ac:dyDescent="0.25">
      <c r="A90" s="30"/>
      <c r="B90" s="30"/>
      <c r="C90" s="30"/>
      <c r="D90" s="30"/>
      <c r="E90" s="30"/>
      <c r="F90" s="30"/>
      <c r="G90" s="30"/>
      <c r="H90" s="30"/>
      <c r="I90" s="30"/>
      <c r="J90" s="30"/>
      <c r="K90" s="30"/>
      <c r="L90" s="30"/>
      <c r="M90" s="30"/>
      <c r="N90" s="30"/>
      <c r="O90" s="30"/>
      <c r="P90" s="30"/>
    </row>
    <row r="91" spans="1:16" ht="24.6" customHeight="1" x14ac:dyDescent="0.25">
      <c r="A91" s="36" t="s">
        <v>1223</v>
      </c>
      <c r="B91" s="42"/>
      <c r="C91" s="42"/>
      <c r="D91" s="42"/>
      <c r="E91" s="42"/>
      <c r="F91" s="42"/>
      <c r="G91" s="43"/>
      <c r="H91" s="42"/>
      <c r="I91" s="42"/>
      <c r="J91" s="44"/>
      <c r="K91" s="42"/>
      <c r="L91" s="42"/>
      <c r="M91" s="42"/>
      <c r="N91" s="42"/>
      <c r="O91" s="42"/>
      <c r="P91" s="45"/>
    </row>
    <row r="92" spans="1:16" ht="24.6" customHeight="1" thickBot="1" x14ac:dyDescent="0.3">
      <c r="A92" s="33" t="s">
        <v>1224</v>
      </c>
      <c r="B92" s="34" t="s">
        <v>236</v>
      </c>
      <c r="C92" s="35"/>
      <c r="D92" s="46"/>
      <c r="E92" s="46"/>
      <c r="F92" s="46"/>
      <c r="G92" s="47"/>
      <c r="H92" s="35"/>
      <c r="I92" s="37" t="s">
        <v>1225</v>
      </c>
      <c r="J92" s="37">
        <v>26</v>
      </c>
      <c r="K92" s="38"/>
      <c r="L92" s="39" t="s">
        <v>1226</v>
      </c>
      <c r="M92" s="37">
        <v>2</v>
      </c>
      <c r="N92" s="37" t="s">
        <v>56</v>
      </c>
      <c r="O92" s="40" t="s">
        <v>1227</v>
      </c>
      <c r="P92" s="41">
        <v>16</v>
      </c>
    </row>
    <row r="93" spans="1:16" ht="24.6" customHeight="1" thickTop="1" x14ac:dyDescent="0.25">
      <c r="A93" s="29" t="s">
        <v>1229</v>
      </c>
      <c r="B93" s="30"/>
      <c r="C93" s="30"/>
      <c r="D93" s="30"/>
      <c r="E93" s="48"/>
      <c r="F93" s="48"/>
      <c r="G93" s="49"/>
      <c r="H93" s="50"/>
      <c r="I93" s="208" t="s">
        <v>1230</v>
      </c>
      <c r="J93" s="209"/>
      <c r="K93" s="209"/>
      <c r="L93" s="209"/>
      <c r="M93" s="209"/>
      <c r="N93" s="209"/>
      <c r="O93" s="209"/>
      <c r="P93" s="210"/>
    </row>
    <row r="94" spans="1:16" ht="24.6" customHeight="1" x14ac:dyDescent="0.25">
      <c r="A94" s="29" t="s">
        <v>1232</v>
      </c>
      <c r="B94" s="30"/>
      <c r="C94" s="30"/>
      <c r="D94" s="30"/>
      <c r="E94" s="52"/>
      <c r="F94" s="52"/>
      <c r="G94" s="53"/>
      <c r="H94" s="54"/>
      <c r="I94" s="211"/>
      <c r="J94" s="211"/>
      <c r="K94" s="211"/>
      <c r="L94" s="211"/>
      <c r="M94" s="211"/>
      <c r="N94" s="211"/>
      <c r="O94" s="211"/>
      <c r="P94" s="212"/>
    </row>
    <row r="95" spans="1:16" ht="24.6" customHeight="1" x14ac:dyDescent="0.25">
      <c r="A95" s="29" t="s">
        <v>1233</v>
      </c>
      <c r="B95" s="30"/>
      <c r="C95" s="30"/>
      <c r="D95" s="30"/>
      <c r="E95" s="52"/>
      <c r="F95" s="52"/>
      <c r="G95" s="53"/>
      <c r="H95" s="54"/>
      <c r="I95" s="211"/>
      <c r="J95" s="211"/>
      <c r="K95" s="211"/>
      <c r="L95" s="211"/>
      <c r="M95" s="211"/>
      <c r="N95" s="211"/>
      <c r="O95" s="211"/>
      <c r="P95" s="212"/>
    </row>
    <row r="96" spans="1:16" ht="24.6" customHeight="1" x14ac:dyDescent="0.25">
      <c r="A96" s="29" t="s">
        <v>1234</v>
      </c>
      <c r="B96" s="30"/>
      <c r="C96" s="30"/>
      <c r="D96" s="30"/>
      <c r="E96" s="52"/>
      <c r="F96" s="52"/>
      <c r="G96" s="53"/>
      <c r="H96" s="54"/>
      <c r="I96" s="211"/>
      <c r="J96" s="211"/>
      <c r="K96" s="211"/>
      <c r="L96" s="211"/>
      <c r="M96" s="211"/>
      <c r="N96" s="211"/>
      <c r="O96" s="211"/>
      <c r="P96" s="212"/>
    </row>
    <row r="97" spans="1:16" ht="24.6" customHeight="1" x14ac:dyDescent="0.25">
      <c r="A97" s="29" t="s">
        <v>1235</v>
      </c>
      <c r="B97" s="30"/>
      <c r="C97" s="30"/>
      <c r="D97" s="30"/>
      <c r="E97" s="56"/>
      <c r="F97" s="56"/>
      <c r="G97" s="53"/>
      <c r="H97" s="54"/>
      <c r="I97" s="211"/>
      <c r="J97" s="211"/>
      <c r="K97" s="211"/>
      <c r="L97" s="211"/>
      <c r="M97" s="211"/>
      <c r="N97" s="211"/>
      <c r="O97" s="211"/>
      <c r="P97" s="212"/>
    </row>
    <row r="98" spans="1:16" ht="24.6" customHeight="1" thickBot="1" x14ac:dyDescent="0.3">
      <c r="A98" s="31" t="s">
        <v>1236</v>
      </c>
      <c r="B98" s="32"/>
      <c r="C98" s="32"/>
      <c r="D98" s="32"/>
      <c r="E98" s="32"/>
      <c r="F98" s="32"/>
      <c r="G98" s="57"/>
      <c r="H98" s="58"/>
      <c r="I98" s="213"/>
      <c r="J98" s="213"/>
      <c r="K98" s="213"/>
      <c r="L98" s="213"/>
      <c r="M98" s="213"/>
      <c r="N98" s="213"/>
      <c r="O98" s="213"/>
      <c r="P98" s="214"/>
    </row>
    <row r="99" spans="1:16" ht="24.6" customHeight="1" thickTop="1" x14ac:dyDescent="0.25">
      <c r="A99" s="59" t="s">
        <v>1237</v>
      </c>
      <c r="B99" s="60" t="s">
        <v>1161</v>
      </c>
      <c r="C99" s="60"/>
      <c r="D99" s="61"/>
      <c r="E99" s="61"/>
      <c r="F99" s="61"/>
      <c r="G99" s="62"/>
      <c r="H99" s="63"/>
      <c r="I99" s="64" t="s">
        <v>1238</v>
      </c>
      <c r="J99" s="63"/>
      <c r="K99" s="60"/>
      <c r="L99" s="60"/>
      <c r="M99" s="61"/>
      <c r="N99" s="61"/>
      <c r="O99" s="61"/>
      <c r="P99" s="65"/>
    </row>
    <row r="100" spans="1:16" ht="36" customHeight="1" x14ac:dyDescent="0.25">
      <c r="A100" s="30"/>
      <c r="B100" s="30"/>
      <c r="C100" s="30"/>
      <c r="D100" s="30"/>
      <c r="E100" s="30"/>
      <c r="F100" s="30"/>
      <c r="G100" s="30"/>
      <c r="H100" s="30"/>
      <c r="I100" s="30"/>
      <c r="J100" s="30"/>
      <c r="K100" s="30"/>
      <c r="L100" s="30"/>
      <c r="M100" s="30"/>
      <c r="N100" s="30"/>
      <c r="O100" s="30"/>
      <c r="P100" s="30"/>
    </row>
    <row r="101" spans="1:16" ht="24.6" customHeight="1" x14ac:dyDescent="0.25">
      <c r="A101" s="36" t="s">
        <v>1223</v>
      </c>
      <c r="B101" s="42"/>
      <c r="C101" s="42"/>
      <c r="D101" s="42"/>
      <c r="E101" s="42"/>
      <c r="F101" s="42"/>
      <c r="G101" s="43"/>
      <c r="H101" s="42"/>
      <c r="I101" s="42"/>
      <c r="J101" s="44"/>
      <c r="K101" s="42"/>
      <c r="L101" s="42"/>
      <c r="M101" s="42"/>
      <c r="N101" s="42"/>
      <c r="O101" s="42"/>
      <c r="P101" s="45"/>
    </row>
    <row r="102" spans="1:16" ht="24.6" customHeight="1" thickBot="1" x14ac:dyDescent="0.3">
      <c r="A102" s="33" t="s">
        <v>1224</v>
      </c>
      <c r="B102" s="34" t="s">
        <v>241</v>
      </c>
      <c r="C102" s="35"/>
      <c r="D102" s="46"/>
      <c r="E102" s="46"/>
      <c r="F102" s="46"/>
      <c r="G102" s="47"/>
      <c r="H102" s="35"/>
      <c r="I102" s="37" t="s">
        <v>1225</v>
      </c>
      <c r="J102" s="37">
        <v>4</v>
      </c>
      <c r="K102" s="38"/>
      <c r="L102" s="39" t="s">
        <v>1226</v>
      </c>
      <c r="M102" s="37">
        <v>2</v>
      </c>
      <c r="N102" s="37" t="s">
        <v>56</v>
      </c>
      <c r="O102" s="40" t="s">
        <v>1227</v>
      </c>
      <c r="P102" s="41">
        <v>3</v>
      </c>
    </row>
    <row r="103" spans="1:16" ht="24.6" customHeight="1" thickTop="1" x14ac:dyDescent="0.25">
      <c r="A103" s="29" t="s">
        <v>1229</v>
      </c>
      <c r="B103" s="30"/>
      <c r="C103" s="30"/>
      <c r="D103" s="30"/>
      <c r="E103" s="48"/>
      <c r="F103" s="48"/>
      <c r="G103" s="49"/>
      <c r="H103" s="50"/>
      <c r="I103" s="208" t="s">
        <v>1230</v>
      </c>
      <c r="J103" s="209"/>
      <c r="K103" s="209"/>
      <c r="L103" s="209"/>
      <c r="M103" s="209"/>
      <c r="N103" s="209"/>
      <c r="O103" s="209"/>
      <c r="P103" s="210"/>
    </row>
    <row r="104" spans="1:16" ht="24.6" customHeight="1" x14ac:dyDescent="0.25">
      <c r="A104" s="29" t="s">
        <v>1232</v>
      </c>
      <c r="B104" s="30"/>
      <c r="C104" s="30"/>
      <c r="D104" s="30"/>
      <c r="E104" s="52"/>
      <c r="F104" s="52"/>
      <c r="G104" s="53"/>
      <c r="H104" s="54"/>
      <c r="I104" s="211"/>
      <c r="J104" s="211"/>
      <c r="K104" s="211"/>
      <c r="L104" s="211"/>
      <c r="M104" s="211"/>
      <c r="N104" s="211"/>
      <c r="O104" s="211"/>
      <c r="P104" s="212"/>
    </row>
    <row r="105" spans="1:16" ht="24.6" customHeight="1" x14ac:dyDescent="0.25">
      <c r="A105" s="29" t="s">
        <v>1233</v>
      </c>
      <c r="B105" s="30"/>
      <c r="C105" s="30"/>
      <c r="D105" s="30"/>
      <c r="E105" s="52"/>
      <c r="F105" s="52"/>
      <c r="G105" s="53"/>
      <c r="H105" s="54"/>
      <c r="I105" s="211"/>
      <c r="J105" s="211"/>
      <c r="K105" s="211"/>
      <c r="L105" s="211"/>
      <c r="M105" s="211"/>
      <c r="N105" s="211"/>
      <c r="O105" s="211"/>
      <c r="P105" s="212"/>
    </row>
    <row r="106" spans="1:16" ht="24.6" customHeight="1" x14ac:dyDescent="0.25">
      <c r="A106" s="29" t="s">
        <v>1234</v>
      </c>
      <c r="B106" s="30"/>
      <c r="C106" s="30"/>
      <c r="D106" s="30"/>
      <c r="E106" s="52"/>
      <c r="F106" s="52"/>
      <c r="G106" s="53"/>
      <c r="H106" s="54"/>
      <c r="I106" s="211"/>
      <c r="J106" s="211"/>
      <c r="K106" s="211"/>
      <c r="L106" s="211"/>
      <c r="M106" s="211"/>
      <c r="N106" s="211"/>
      <c r="O106" s="211"/>
      <c r="P106" s="212"/>
    </row>
    <row r="107" spans="1:16" ht="24.6" customHeight="1" x14ac:dyDescent="0.25">
      <c r="A107" s="29" t="s">
        <v>1235</v>
      </c>
      <c r="B107" s="30"/>
      <c r="C107" s="30"/>
      <c r="D107" s="30"/>
      <c r="E107" s="56"/>
      <c r="F107" s="56"/>
      <c r="G107" s="53"/>
      <c r="H107" s="54"/>
      <c r="I107" s="211"/>
      <c r="J107" s="211"/>
      <c r="K107" s="211"/>
      <c r="L107" s="211"/>
      <c r="M107" s="211"/>
      <c r="N107" s="211"/>
      <c r="O107" s="211"/>
      <c r="P107" s="212"/>
    </row>
    <row r="108" spans="1:16" ht="24.6" customHeight="1" thickBot="1" x14ac:dyDescent="0.3">
      <c r="A108" s="31" t="s">
        <v>1236</v>
      </c>
      <c r="B108" s="32"/>
      <c r="C108" s="32"/>
      <c r="D108" s="32"/>
      <c r="E108" s="32"/>
      <c r="F108" s="32"/>
      <c r="G108" s="57"/>
      <c r="H108" s="58"/>
      <c r="I108" s="213"/>
      <c r="J108" s="213"/>
      <c r="K108" s="213"/>
      <c r="L108" s="213"/>
      <c r="M108" s="213"/>
      <c r="N108" s="213"/>
      <c r="O108" s="213"/>
      <c r="P108" s="214"/>
    </row>
    <row r="109" spans="1:16" ht="24.6" customHeight="1" thickTop="1" x14ac:dyDescent="0.25">
      <c r="A109" s="59" t="s">
        <v>1237</v>
      </c>
      <c r="B109" s="60" t="s">
        <v>1161</v>
      </c>
      <c r="C109" s="60"/>
      <c r="D109" s="61"/>
      <c r="E109" s="61"/>
      <c r="F109" s="61"/>
      <c r="G109" s="62"/>
      <c r="H109" s="63"/>
      <c r="I109" s="64" t="s">
        <v>1238</v>
      </c>
      <c r="J109" s="63"/>
      <c r="K109" s="60"/>
      <c r="L109" s="60"/>
      <c r="M109" s="61"/>
      <c r="N109" s="61"/>
      <c r="O109" s="61"/>
      <c r="P109" s="65"/>
    </row>
    <row r="110" spans="1:16" ht="36" customHeight="1" x14ac:dyDescent="0.25">
      <c r="A110" s="30"/>
      <c r="B110" s="30"/>
      <c r="C110" s="30"/>
      <c r="D110" s="30"/>
      <c r="E110" s="30"/>
      <c r="F110" s="30"/>
      <c r="G110" s="30"/>
      <c r="H110" s="30"/>
      <c r="I110" s="30"/>
      <c r="J110" s="30"/>
      <c r="K110" s="30"/>
      <c r="L110" s="30"/>
      <c r="M110" s="30"/>
      <c r="N110" s="30"/>
      <c r="O110" s="30"/>
      <c r="P110" s="30"/>
    </row>
    <row r="111" spans="1:16" ht="24.6" customHeight="1" x14ac:dyDescent="0.25">
      <c r="A111" s="36" t="s">
        <v>1223</v>
      </c>
      <c r="B111" s="42"/>
      <c r="C111" s="42"/>
      <c r="D111" s="42"/>
      <c r="E111" s="42"/>
      <c r="F111" s="42"/>
      <c r="G111" s="43"/>
      <c r="H111" s="42"/>
      <c r="I111" s="42"/>
      <c r="J111" s="44"/>
      <c r="K111" s="42"/>
      <c r="L111" s="42"/>
      <c r="M111" s="42"/>
      <c r="N111" s="42"/>
      <c r="O111" s="42"/>
      <c r="P111" s="45"/>
    </row>
    <row r="112" spans="1:16" ht="24.6" customHeight="1" thickBot="1" x14ac:dyDescent="0.3">
      <c r="A112" s="33" t="s">
        <v>1224</v>
      </c>
      <c r="B112" s="34" t="s">
        <v>245</v>
      </c>
      <c r="C112" s="35"/>
      <c r="D112" s="46"/>
      <c r="E112" s="46"/>
      <c r="F112" s="46"/>
      <c r="G112" s="47"/>
      <c r="H112" s="35"/>
      <c r="I112" s="37" t="s">
        <v>1225</v>
      </c>
      <c r="J112" s="37">
        <v>263</v>
      </c>
      <c r="K112" s="38"/>
      <c r="L112" s="39" t="s">
        <v>1226</v>
      </c>
      <c r="M112" s="37">
        <v>2</v>
      </c>
      <c r="N112" s="37" t="s">
        <v>56</v>
      </c>
      <c r="O112" s="40" t="s">
        <v>1227</v>
      </c>
      <c r="P112" s="41">
        <v>168</v>
      </c>
    </row>
    <row r="113" spans="1:16" ht="24.6" customHeight="1" thickTop="1" x14ac:dyDescent="0.25">
      <c r="A113" s="29" t="s">
        <v>1229</v>
      </c>
      <c r="B113" s="30"/>
      <c r="C113" s="30"/>
      <c r="D113" s="30"/>
      <c r="E113" s="48"/>
      <c r="F113" s="48"/>
      <c r="G113" s="49"/>
      <c r="H113" s="50"/>
      <c r="I113" s="208" t="s">
        <v>1230</v>
      </c>
      <c r="J113" s="209"/>
      <c r="K113" s="209"/>
      <c r="L113" s="209"/>
      <c r="M113" s="209"/>
      <c r="N113" s="209"/>
      <c r="O113" s="209"/>
      <c r="P113" s="210"/>
    </row>
    <row r="114" spans="1:16" ht="24.6" customHeight="1" x14ac:dyDescent="0.25">
      <c r="A114" s="29" t="s">
        <v>1232</v>
      </c>
      <c r="B114" s="30"/>
      <c r="C114" s="30"/>
      <c r="D114" s="30"/>
      <c r="E114" s="52"/>
      <c r="F114" s="52"/>
      <c r="G114" s="53"/>
      <c r="H114" s="54"/>
      <c r="I114" s="211"/>
      <c r="J114" s="211"/>
      <c r="K114" s="211"/>
      <c r="L114" s="211"/>
      <c r="M114" s="211"/>
      <c r="N114" s="211"/>
      <c r="O114" s="211"/>
      <c r="P114" s="212"/>
    </row>
    <row r="115" spans="1:16" ht="24.6" customHeight="1" x14ac:dyDescent="0.25">
      <c r="A115" s="29" t="s">
        <v>1233</v>
      </c>
      <c r="B115" s="30"/>
      <c r="C115" s="30"/>
      <c r="D115" s="30"/>
      <c r="E115" s="52"/>
      <c r="F115" s="52"/>
      <c r="G115" s="53"/>
      <c r="H115" s="54"/>
      <c r="I115" s="211"/>
      <c r="J115" s="211"/>
      <c r="K115" s="211"/>
      <c r="L115" s="211"/>
      <c r="M115" s="211"/>
      <c r="N115" s="211"/>
      <c r="O115" s="211"/>
      <c r="P115" s="212"/>
    </row>
    <row r="116" spans="1:16" ht="24.6" customHeight="1" x14ac:dyDescent="0.25">
      <c r="A116" s="29" t="s">
        <v>1234</v>
      </c>
      <c r="B116" s="30"/>
      <c r="C116" s="30"/>
      <c r="D116" s="30"/>
      <c r="E116" s="52"/>
      <c r="F116" s="52"/>
      <c r="G116" s="53"/>
      <c r="H116" s="54"/>
      <c r="I116" s="211"/>
      <c r="J116" s="211"/>
      <c r="K116" s="211"/>
      <c r="L116" s="211"/>
      <c r="M116" s="211"/>
      <c r="N116" s="211"/>
      <c r="O116" s="211"/>
      <c r="P116" s="212"/>
    </row>
    <row r="117" spans="1:16" ht="24.6" customHeight="1" x14ac:dyDescent="0.25">
      <c r="A117" s="29" t="s">
        <v>1235</v>
      </c>
      <c r="B117" s="30"/>
      <c r="C117" s="30"/>
      <c r="D117" s="30"/>
      <c r="E117" s="56"/>
      <c r="F117" s="56"/>
      <c r="G117" s="53"/>
      <c r="H117" s="54"/>
      <c r="I117" s="211"/>
      <c r="J117" s="211"/>
      <c r="K117" s="211"/>
      <c r="L117" s="211"/>
      <c r="M117" s="211"/>
      <c r="N117" s="211"/>
      <c r="O117" s="211"/>
      <c r="P117" s="212"/>
    </row>
    <row r="118" spans="1:16" ht="24.6" customHeight="1" thickBot="1" x14ac:dyDescent="0.3">
      <c r="A118" s="31" t="s">
        <v>1236</v>
      </c>
      <c r="B118" s="32"/>
      <c r="C118" s="32"/>
      <c r="D118" s="32"/>
      <c r="E118" s="32"/>
      <c r="F118" s="32"/>
      <c r="G118" s="57"/>
      <c r="H118" s="58"/>
      <c r="I118" s="213"/>
      <c r="J118" s="213"/>
      <c r="K118" s="213"/>
      <c r="L118" s="213"/>
      <c r="M118" s="213"/>
      <c r="N118" s="213"/>
      <c r="O118" s="213"/>
      <c r="P118" s="214"/>
    </row>
    <row r="119" spans="1:16" ht="24.6" customHeight="1" thickTop="1" x14ac:dyDescent="0.25">
      <c r="A119" s="59" t="s">
        <v>1237</v>
      </c>
      <c r="B119" s="60" t="s">
        <v>1161</v>
      </c>
      <c r="C119" s="60"/>
      <c r="D119" s="61"/>
      <c r="E119" s="61"/>
      <c r="F119" s="61"/>
      <c r="G119" s="62"/>
      <c r="H119" s="63"/>
      <c r="I119" s="64" t="s">
        <v>1238</v>
      </c>
      <c r="J119" s="63"/>
      <c r="K119" s="60"/>
      <c r="L119" s="60"/>
      <c r="M119" s="61"/>
      <c r="N119" s="61"/>
      <c r="O119" s="61"/>
      <c r="P119" s="65"/>
    </row>
    <row r="120" spans="1:16" ht="36" customHeight="1" x14ac:dyDescent="0.25">
      <c r="A120" s="30"/>
      <c r="B120" s="30"/>
      <c r="C120" s="30"/>
      <c r="D120" s="30"/>
      <c r="E120" s="30"/>
      <c r="F120" s="30"/>
      <c r="G120" s="30"/>
      <c r="H120" s="30"/>
      <c r="I120" s="30"/>
      <c r="J120" s="30"/>
      <c r="K120" s="30"/>
      <c r="L120" s="30"/>
      <c r="M120" s="30"/>
      <c r="N120" s="30"/>
      <c r="O120" s="30"/>
      <c r="P120" s="30"/>
    </row>
    <row r="121" spans="1:16" ht="24.6" customHeight="1" x14ac:dyDescent="0.25">
      <c r="A121" s="36" t="s">
        <v>1223</v>
      </c>
      <c r="B121" s="42"/>
      <c r="C121" s="42"/>
      <c r="D121" s="42"/>
      <c r="E121" s="42"/>
      <c r="F121" s="42"/>
      <c r="G121" s="43"/>
      <c r="H121" s="42"/>
      <c r="I121" s="42"/>
      <c r="J121" s="44"/>
      <c r="K121" s="42"/>
      <c r="L121" s="42"/>
      <c r="M121" s="42"/>
      <c r="N121" s="42"/>
      <c r="O121" s="42"/>
      <c r="P121" s="45"/>
    </row>
    <row r="122" spans="1:16" ht="24.6" customHeight="1" thickBot="1" x14ac:dyDescent="0.3">
      <c r="A122" s="33" t="s">
        <v>1224</v>
      </c>
      <c r="B122" s="34" t="s">
        <v>250</v>
      </c>
      <c r="C122" s="35"/>
      <c r="D122" s="46"/>
      <c r="E122" s="46"/>
      <c r="F122" s="46"/>
      <c r="G122" s="47"/>
      <c r="H122" s="35"/>
      <c r="I122" s="37" t="s">
        <v>1225</v>
      </c>
      <c r="J122" s="37">
        <v>62</v>
      </c>
      <c r="K122" s="38"/>
      <c r="L122" s="39" t="s">
        <v>1226</v>
      </c>
      <c r="M122" s="37">
        <v>2</v>
      </c>
      <c r="N122" s="37" t="s">
        <v>56</v>
      </c>
      <c r="O122" s="40" t="s">
        <v>1227</v>
      </c>
      <c r="P122" s="41">
        <v>36</v>
      </c>
    </row>
    <row r="123" spans="1:16" ht="24.6" customHeight="1" thickTop="1" x14ac:dyDescent="0.25">
      <c r="A123" s="29" t="s">
        <v>1229</v>
      </c>
      <c r="B123" s="30"/>
      <c r="C123" s="30"/>
      <c r="D123" s="30"/>
      <c r="E123" s="48"/>
      <c r="F123" s="48"/>
      <c r="G123" s="49"/>
      <c r="H123" s="50"/>
      <c r="I123" s="208" t="s">
        <v>1230</v>
      </c>
      <c r="J123" s="209"/>
      <c r="K123" s="209"/>
      <c r="L123" s="209"/>
      <c r="M123" s="209"/>
      <c r="N123" s="209"/>
      <c r="O123" s="209"/>
      <c r="P123" s="210"/>
    </row>
    <row r="124" spans="1:16" ht="24.6" customHeight="1" x14ac:dyDescent="0.25">
      <c r="A124" s="29" t="s">
        <v>1232</v>
      </c>
      <c r="B124" s="30"/>
      <c r="C124" s="30"/>
      <c r="D124" s="30"/>
      <c r="E124" s="52"/>
      <c r="F124" s="52"/>
      <c r="G124" s="53"/>
      <c r="H124" s="54"/>
      <c r="I124" s="211"/>
      <c r="J124" s="211"/>
      <c r="K124" s="211"/>
      <c r="L124" s="211"/>
      <c r="M124" s="211"/>
      <c r="N124" s="211"/>
      <c r="O124" s="211"/>
      <c r="P124" s="212"/>
    </row>
    <row r="125" spans="1:16" ht="24.6" customHeight="1" x14ac:dyDescent="0.25">
      <c r="A125" s="29" t="s">
        <v>1233</v>
      </c>
      <c r="B125" s="30"/>
      <c r="C125" s="30"/>
      <c r="D125" s="30"/>
      <c r="E125" s="52"/>
      <c r="F125" s="52"/>
      <c r="G125" s="53"/>
      <c r="H125" s="54"/>
      <c r="I125" s="211"/>
      <c r="J125" s="211"/>
      <c r="K125" s="211"/>
      <c r="L125" s="211"/>
      <c r="M125" s="211"/>
      <c r="N125" s="211"/>
      <c r="O125" s="211"/>
      <c r="P125" s="212"/>
    </row>
    <row r="126" spans="1:16" ht="24.6" customHeight="1" x14ac:dyDescent="0.25">
      <c r="A126" s="29" t="s">
        <v>1234</v>
      </c>
      <c r="B126" s="30"/>
      <c r="C126" s="30"/>
      <c r="D126" s="30"/>
      <c r="E126" s="52"/>
      <c r="F126" s="52"/>
      <c r="G126" s="53"/>
      <c r="H126" s="54"/>
      <c r="I126" s="211"/>
      <c r="J126" s="211"/>
      <c r="K126" s="211"/>
      <c r="L126" s="211"/>
      <c r="M126" s="211"/>
      <c r="N126" s="211"/>
      <c r="O126" s="211"/>
      <c r="P126" s="212"/>
    </row>
    <row r="127" spans="1:16" ht="24.6" customHeight="1" x14ac:dyDescent="0.25">
      <c r="A127" s="29" t="s">
        <v>1235</v>
      </c>
      <c r="B127" s="30"/>
      <c r="C127" s="30"/>
      <c r="D127" s="30"/>
      <c r="E127" s="56"/>
      <c r="F127" s="56"/>
      <c r="G127" s="53"/>
      <c r="H127" s="54"/>
      <c r="I127" s="211"/>
      <c r="J127" s="211"/>
      <c r="K127" s="211"/>
      <c r="L127" s="211"/>
      <c r="M127" s="211"/>
      <c r="N127" s="211"/>
      <c r="O127" s="211"/>
      <c r="P127" s="212"/>
    </row>
    <row r="128" spans="1:16" ht="24.6" customHeight="1" thickBot="1" x14ac:dyDescent="0.3">
      <c r="A128" s="31" t="s">
        <v>1236</v>
      </c>
      <c r="B128" s="32"/>
      <c r="C128" s="32"/>
      <c r="D128" s="32"/>
      <c r="E128" s="32"/>
      <c r="F128" s="32"/>
      <c r="G128" s="57"/>
      <c r="H128" s="58"/>
      <c r="I128" s="213"/>
      <c r="J128" s="213"/>
      <c r="K128" s="213"/>
      <c r="L128" s="213"/>
      <c r="M128" s="213"/>
      <c r="N128" s="213"/>
      <c r="O128" s="213"/>
      <c r="P128" s="214"/>
    </row>
    <row r="129" spans="1:16" ht="24.6" customHeight="1" thickTop="1" x14ac:dyDescent="0.25">
      <c r="A129" s="59" t="s">
        <v>1237</v>
      </c>
      <c r="B129" s="60" t="s">
        <v>1161</v>
      </c>
      <c r="C129" s="60"/>
      <c r="D129" s="61"/>
      <c r="E129" s="61"/>
      <c r="F129" s="61"/>
      <c r="G129" s="62"/>
      <c r="H129" s="63"/>
      <c r="I129" s="64" t="s">
        <v>1238</v>
      </c>
      <c r="J129" s="63"/>
      <c r="K129" s="60"/>
      <c r="L129" s="60"/>
      <c r="M129" s="61"/>
      <c r="N129" s="61"/>
      <c r="O129" s="61"/>
      <c r="P129" s="65"/>
    </row>
    <row r="130" spans="1:16" ht="36" customHeight="1" x14ac:dyDescent="0.25">
      <c r="A130" s="30"/>
      <c r="B130" s="30"/>
      <c r="C130" s="30"/>
      <c r="D130" s="30"/>
      <c r="E130" s="30"/>
      <c r="F130" s="30"/>
      <c r="G130" s="30"/>
      <c r="H130" s="30"/>
      <c r="I130" s="30"/>
      <c r="J130" s="30"/>
      <c r="K130" s="30"/>
      <c r="L130" s="30"/>
      <c r="M130" s="30"/>
      <c r="N130" s="30"/>
      <c r="O130" s="30"/>
      <c r="P130" s="30"/>
    </row>
    <row r="131" spans="1:16" ht="24.6" customHeight="1" x14ac:dyDescent="0.25">
      <c r="A131" s="36" t="s">
        <v>1223</v>
      </c>
      <c r="B131" s="42"/>
      <c r="C131" s="42"/>
      <c r="D131" s="42"/>
      <c r="E131" s="42"/>
      <c r="F131" s="42"/>
      <c r="G131" s="43"/>
      <c r="H131" s="42"/>
      <c r="I131" s="42"/>
      <c r="J131" s="44"/>
      <c r="K131" s="42"/>
      <c r="L131" s="42"/>
      <c r="M131" s="42"/>
      <c r="N131" s="42"/>
      <c r="O131" s="42"/>
      <c r="P131" s="45"/>
    </row>
    <row r="132" spans="1:16" ht="24.6" customHeight="1" thickBot="1" x14ac:dyDescent="0.3">
      <c r="A132" s="33" t="s">
        <v>1224</v>
      </c>
      <c r="B132" s="34" t="s">
        <v>254</v>
      </c>
      <c r="C132" s="35"/>
      <c r="D132" s="46"/>
      <c r="E132" s="46"/>
      <c r="F132" s="46"/>
      <c r="G132" s="47"/>
      <c r="H132" s="35"/>
      <c r="I132" s="37" t="s">
        <v>1225</v>
      </c>
      <c r="J132" s="37">
        <v>213</v>
      </c>
      <c r="K132" s="38"/>
      <c r="L132" s="39" t="s">
        <v>1226</v>
      </c>
      <c r="M132" s="37">
        <v>2</v>
      </c>
      <c r="N132" s="37" t="s">
        <v>56</v>
      </c>
      <c r="O132" s="40" t="s">
        <v>1227</v>
      </c>
      <c r="P132" s="41">
        <v>134</v>
      </c>
    </row>
    <row r="133" spans="1:16" ht="24.6" customHeight="1" thickTop="1" x14ac:dyDescent="0.25">
      <c r="A133" s="29" t="s">
        <v>1229</v>
      </c>
      <c r="B133" s="30"/>
      <c r="C133" s="30"/>
      <c r="D133" s="30"/>
      <c r="E133" s="48"/>
      <c r="F133" s="48"/>
      <c r="G133" s="49"/>
      <c r="H133" s="50"/>
      <c r="I133" s="208" t="s">
        <v>1230</v>
      </c>
      <c r="J133" s="209"/>
      <c r="K133" s="209"/>
      <c r="L133" s="209"/>
      <c r="M133" s="209"/>
      <c r="N133" s="209"/>
      <c r="O133" s="209"/>
      <c r="P133" s="210"/>
    </row>
    <row r="134" spans="1:16" ht="24.6" customHeight="1" x14ac:dyDescent="0.25">
      <c r="A134" s="29" t="s">
        <v>1232</v>
      </c>
      <c r="B134" s="30"/>
      <c r="C134" s="30"/>
      <c r="D134" s="30"/>
      <c r="E134" s="52"/>
      <c r="F134" s="52"/>
      <c r="G134" s="53"/>
      <c r="H134" s="54"/>
      <c r="I134" s="211"/>
      <c r="J134" s="211"/>
      <c r="K134" s="211"/>
      <c r="L134" s="211"/>
      <c r="M134" s="211"/>
      <c r="N134" s="211"/>
      <c r="O134" s="211"/>
      <c r="P134" s="212"/>
    </row>
    <row r="135" spans="1:16" ht="24.6" customHeight="1" x14ac:dyDescent="0.25">
      <c r="A135" s="29" t="s">
        <v>1233</v>
      </c>
      <c r="B135" s="30"/>
      <c r="C135" s="30"/>
      <c r="D135" s="30"/>
      <c r="E135" s="52"/>
      <c r="F135" s="52"/>
      <c r="G135" s="53"/>
      <c r="H135" s="54"/>
      <c r="I135" s="211"/>
      <c r="J135" s="211"/>
      <c r="K135" s="211"/>
      <c r="L135" s="211"/>
      <c r="M135" s="211"/>
      <c r="N135" s="211"/>
      <c r="O135" s="211"/>
      <c r="P135" s="212"/>
    </row>
    <row r="136" spans="1:16" ht="24.6" customHeight="1" x14ac:dyDescent="0.25">
      <c r="A136" s="29" t="s">
        <v>1234</v>
      </c>
      <c r="B136" s="30"/>
      <c r="C136" s="30"/>
      <c r="D136" s="30"/>
      <c r="E136" s="52"/>
      <c r="F136" s="52"/>
      <c r="G136" s="53"/>
      <c r="H136" s="54"/>
      <c r="I136" s="211"/>
      <c r="J136" s="211"/>
      <c r="K136" s="211"/>
      <c r="L136" s="211"/>
      <c r="M136" s="211"/>
      <c r="N136" s="211"/>
      <c r="O136" s="211"/>
      <c r="P136" s="212"/>
    </row>
    <row r="137" spans="1:16" ht="24.6" customHeight="1" x14ac:dyDescent="0.25">
      <c r="A137" s="29" t="s">
        <v>1235</v>
      </c>
      <c r="B137" s="30"/>
      <c r="C137" s="30"/>
      <c r="D137" s="30"/>
      <c r="E137" s="56"/>
      <c r="F137" s="56"/>
      <c r="G137" s="53"/>
      <c r="H137" s="54"/>
      <c r="I137" s="211"/>
      <c r="J137" s="211"/>
      <c r="K137" s="211"/>
      <c r="L137" s="211"/>
      <c r="M137" s="211"/>
      <c r="N137" s="211"/>
      <c r="O137" s="211"/>
      <c r="P137" s="212"/>
    </row>
    <row r="138" spans="1:16" ht="24.6" customHeight="1" thickBot="1" x14ac:dyDescent="0.3">
      <c r="A138" s="31" t="s">
        <v>1236</v>
      </c>
      <c r="B138" s="32"/>
      <c r="C138" s="32"/>
      <c r="D138" s="32"/>
      <c r="E138" s="32"/>
      <c r="F138" s="32"/>
      <c r="G138" s="57"/>
      <c r="H138" s="58"/>
      <c r="I138" s="213"/>
      <c r="J138" s="213"/>
      <c r="K138" s="213"/>
      <c r="L138" s="213"/>
      <c r="M138" s="213"/>
      <c r="N138" s="213"/>
      <c r="O138" s="213"/>
      <c r="P138" s="214"/>
    </row>
    <row r="139" spans="1:16" ht="24.6" customHeight="1" thickTop="1" x14ac:dyDescent="0.25">
      <c r="A139" s="59" t="s">
        <v>1237</v>
      </c>
      <c r="B139" s="60" t="s">
        <v>1161</v>
      </c>
      <c r="C139" s="60"/>
      <c r="D139" s="61"/>
      <c r="E139" s="61"/>
      <c r="F139" s="61"/>
      <c r="G139" s="62"/>
      <c r="H139" s="63"/>
      <c r="I139" s="64" t="s">
        <v>1238</v>
      </c>
      <c r="J139" s="63"/>
      <c r="K139" s="60"/>
      <c r="L139" s="60"/>
      <c r="M139" s="61"/>
      <c r="N139" s="61"/>
      <c r="O139" s="61"/>
      <c r="P139" s="65"/>
    </row>
    <row r="140" spans="1:16" ht="36" customHeight="1" x14ac:dyDescent="0.25">
      <c r="A140" s="30"/>
      <c r="B140" s="30"/>
      <c r="C140" s="30"/>
      <c r="D140" s="30"/>
      <c r="E140" s="30"/>
      <c r="F140" s="30"/>
      <c r="G140" s="30"/>
      <c r="H140" s="30"/>
      <c r="I140" s="30"/>
      <c r="J140" s="30"/>
      <c r="K140" s="30"/>
      <c r="L140" s="30"/>
      <c r="M140" s="30"/>
      <c r="N140" s="30"/>
      <c r="O140" s="30"/>
      <c r="P140" s="30"/>
    </row>
    <row r="141" spans="1:16" ht="24.6" customHeight="1" x14ac:dyDescent="0.25">
      <c r="A141" s="36" t="s">
        <v>1223</v>
      </c>
      <c r="B141" s="42"/>
      <c r="C141" s="42"/>
      <c r="D141" s="42"/>
      <c r="E141" s="42"/>
      <c r="F141" s="42"/>
      <c r="G141" s="43"/>
      <c r="H141" s="42"/>
      <c r="I141" s="42"/>
      <c r="J141" s="44"/>
      <c r="K141" s="42"/>
      <c r="L141" s="42"/>
      <c r="M141" s="42"/>
      <c r="N141" s="42"/>
      <c r="O141" s="42"/>
      <c r="P141" s="45"/>
    </row>
    <row r="142" spans="1:16" ht="24.6" customHeight="1" thickBot="1" x14ac:dyDescent="0.3">
      <c r="A142" s="33" t="s">
        <v>1224</v>
      </c>
      <c r="B142" s="34" t="s">
        <v>259</v>
      </c>
      <c r="C142" s="35"/>
      <c r="D142" s="46"/>
      <c r="E142" s="46"/>
      <c r="F142" s="46"/>
      <c r="G142" s="47"/>
      <c r="H142" s="35"/>
      <c r="I142" s="37" t="s">
        <v>1225</v>
      </c>
      <c r="J142" s="37">
        <v>136</v>
      </c>
      <c r="K142" s="38"/>
      <c r="L142" s="39" t="s">
        <v>1226</v>
      </c>
      <c r="M142" s="37">
        <v>2</v>
      </c>
      <c r="N142" s="37" t="s">
        <v>56</v>
      </c>
      <c r="O142" s="40" t="s">
        <v>1227</v>
      </c>
      <c r="P142" s="41">
        <v>85</v>
      </c>
    </row>
    <row r="143" spans="1:16" ht="24.6" customHeight="1" thickTop="1" x14ac:dyDescent="0.25">
      <c r="A143" s="29" t="s">
        <v>1229</v>
      </c>
      <c r="B143" s="30"/>
      <c r="C143" s="30"/>
      <c r="D143" s="30"/>
      <c r="E143" s="48"/>
      <c r="F143" s="48"/>
      <c r="G143" s="49"/>
      <c r="H143" s="50"/>
      <c r="I143" s="208" t="s">
        <v>1230</v>
      </c>
      <c r="J143" s="209"/>
      <c r="K143" s="209"/>
      <c r="L143" s="209"/>
      <c r="M143" s="209"/>
      <c r="N143" s="209"/>
      <c r="O143" s="209"/>
      <c r="P143" s="210"/>
    </row>
    <row r="144" spans="1:16" ht="24.6" customHeight="1" x14ac:dyDescent="0.25">
      <c r="A144" s="29" t="s">
        <v>1232</v>
      </c>
      <c r="B144" s="30"/>
      <c r="C144" s="30"/>
      <c r="D144" s="30"/>
      <c r="E144" s="52"/>
      <c r="F144" s="52"/>
      <c r="G144" s="53"/>
      <c r="H144" s="54"/>
      <c r="I144" s="211"/>
      <c r="J144" s="211"/>
      <c r="K144" s="211"/>
      <c r="L144" s="211"/>
      <c r="M144" s="211"/>
      <c r="N144" s="211"/>
      <c r="O144" s="211"/>
      <c r="P144" s="212"/>
    </row>
    <row r="145" spans="1:16" ht="24.6" customHeight="1" x14ac:dyDescent="0.25">
      <c r="A145" s="29" t="s">
        <v>1233</v>
      </c>
      <c r="B145" s="30"/>
      <c r="C145" s="30"/>
      <c r="D145" s="30"/>
      <c r="E145" s="52"/>
      <c r="F145" s="52"/>
      <c r="G145" s="53"/>
      <c r="H145" s="54"/>
      <c r="I145" s="211"/>
      <c r="J145" s="211"/>
      <c r="K145" s="211"/>
      <c r="L145" s="211"/>
      <c r="M145" s="211"/>
      <c r="N145" s="211"/>
      <c r="O145" s="211"/>
      <c r="P145" s="212"/>
    </row>
    <row r="146" spans="1:16" ht="24.6" customHeight="1" x14ac:dyDescent="0.25">
      <c r="A146" s="29" t="s">
        <v>1234</v>
      </c>
      <c r="B146" s="30"/>
      <c r="C146" s="30"/>
      <c r="D146" s="30"/>
      <c r="E146" s="52"/>
      <c r="F146" s="52"/>
      <c r="G146" s="53"/>
      <c r="H146" s="54"/>
      <c r="I146" s="211"/>
      <c r="J146" s="211"/>
      <c r="K146" s="211"/>
      <c r="L146" s="211"/>
      <c r="M146" s="211"/>
      <c r="N146" s="211"/>
      <c r="O146" s="211"/>
      <c r="P146" s="212"/>
    </row>
    <row r="147" spans="1:16" ht="24.6" customHeight="1" x14ac:dyDescent="0.25">
      <c r="A147" s="29" t="s">
        <v>1235</v>
      </c>
      <c r="B147" s="30"/>
      <c r="C147" s="30"/>
      <c r="D147" s="30"/>
      <c r="E147" s="56"/>
      <c r="F147" s="56"/>
      <c r="G147" s="53"/>
      <c r="H147" s="54"/>
      <c r="I147" s="211"/>
      <c r="J147" s="211"/>
      <c r="K147" s="211"/>
      <c r="L147" s="211"/>
      <c r="M147" s="211"/>
      <c r="N147" s="211"/>
      <c r="O147" s="211"/>
      <c r="P147" s="212"/>
    </row>
    <row r="148" spans="1:16" ht="24.6" customHeight="1" thickBot="1" x14ac:dyDescent="0.3">
      <c r="A148" s="31" t="s">
        <v>1236</v>
      </c>
      <c r="B148" s="32"/>
      <c r="C148" s="32"/>
      <c r="D148" s="32"/>
      <c r="E148" s="32"/>
      <c r="F148" s="32"/>
      <c r="G148" s="57"/>
      <c r="H148" s="58"/>
      <c r="I148" s="213"/>
      <c r="J148" s="213"/>
      <c r="K148" s="213"/>
      <c r="L148" s="213"/>
      <c r="M148" s="213"/>
      <c r="N148" s="213"/>
      <c r="O148" s="213"/>
      <c r="P148" s="214"/>
    </row>
    <row r="149" spans="1:16" ht="24.6" customHeight="1" thickTop="1" x14ac:dyDescent="0.25">
      <c r="A149" s="59" t="s">
        <v>1237</v>
      </c>
      <c r="B149" s="60" t="s">
        <v>1161</v>
      </c>
      <c r="C149" s="60"/>
      <c r="D149" s="61"/>
      <c r="E149" s="61"/>
      <c r="F149" s="61"/>
      <c r="G149" s="62"/>
      <c r="H149" s="63"/>
      <c r="I149" s="64" t="s">
        <v>1238</v>
      </c>
      <c r="J149" s="63"/>
      <c r="K149" s="60"/>
      <c r="L149" s="60"/>
      <c r="M149" s="61"/>
      <c r="N149" s="61"/>
      <c r="O149" s="61"/>
      <c r="P149" s="65"/>
    </row>
    <row r="150" spans="1:16" ht="36" customHeight="1" x14ac:dyDescent="0.25">
      <c r="A150" s="30"/>
      <c r="B150" s="30"/>
      <c r="C150" s="30"/>
      <c r="D150" s="30"/>
      <c r="E150" s="30"/>
      <c r="F150" s="30"/>
      <c r="G150" s="30"/>
      <c r="H150" s="30"/>
      <c r="I150" s="30"/>
      <c r="J150" s="30"/>
      <c r="K150" s="30"/>
      <c r="L150" s="30"/>
      <c r="M150" s="30"/>
      <c r="N150" s="30"/>
      <c r="O150" s="30"/>
      <c r="P150" s="30"/>
    </row>
    <row r="151" spans="1:16" ht="24.6" customHeight="1" x14ac:dyDescent="0.25">
      <c r="A151" s="36" t="s">
        <v>1223</v>
      </c>
      <c r="B151" s="42"/>
      <c r="C151" s="42"/>
      <c r="D151" s="42"/>
      <c r="E151" s="42"/>
      <c r="F151" s="42"/>
      <c r="G151" s="43"/>
      <c r="H151" s="42"/>
      <c r="I151" s="42"/>
      <c r="J151" s="44"/>
      <c r="K151" s="42"/>
      <c r="L151" s="42"/>
      <c r="M151" s="42"/>
      <c r="N151" s="42"/>
      <c r="O151" s="42"/>
      <c r="P151" s="45"/>
    </row>
    <row r="152" spans="1:16" ht="24.6" customHeight="1" thickBot="1" x14ac:dyDescent="0.3">
      <c r="A152" s="33" t="s">
        <v>1224</v>
      </c>
      <c r="B152" s="34" t="s">
        <v>264</v>
      </c>
      <c r="C152" s="35"/>
      <c r="D152" s="46"/>
      <c r="E152" s="46"/>
      <c r="F152" s="46"/>
      <c r="G152" s="47"/>
      <c r="H152" s="35"/>
      <c r="I152" s="37" t="s">
        <v>1225</v>
      </c>
      <c r="J152" s="37">
        <v>109</v>
      </c>
      <c r="K152" s="38"/>
      <c r="L152" s="39" t="s">
        <v>1226</v>
      </c>
      <c r="M152" s="37">
        <v>3</v>
      </c>
      <c r="N152" s="37" t="s">
        <v>56</v>
      </c>
      <c r="O152" s="40" t="s">
        <v>1227</v>
      </c>
      <c r="P152" s="41">
        <v>65</v>
      </c>
    </row>
    <row r="153" spans="1:16" ht="24.6" customHeight="1" thickTop="1" x14ac:dyDescent="0.25">
      <c r="A153" s="29" t="s">
        <v>1229</v>
      </c>
      <c r="B153" s="30"/>
      <c r="C153" s="30"/>
      <c r="D153" s="30"/>
      <c r="E153" s="48"/>
      <c r="F153" s="48"/>
      <c r="G153" s="49"/>
      <c r="H153" s="50"/>
      <c r="I153" s="208" t="s">
        <v>1230</v>
      </c>
      <c r="J153" s="209"/>
      <c r="K153" s="209"/>
      <c r="L153" s="209"/>
      <c r="M153" s="209"/>
      <c r="N153" s="209"/>
      <c r="O153" s="209"/>
      <c r="P153" s="210"/>
    </row>
    <row r="154" spans="1:16" ht="24.6" customHeight="1" x14ac:dyDescent="0.25">
      <c r="A154" s="29" t="s">
        <v>1232</v>
      </c>
      <c r="B154" s="30"/>
      <c r="C154" s="30"/>
      <c r="D154" s="30"/>
      <c r="E154" s="52"/>
      <c r="F154" s="52"/>
      <c r="G154" s="53"/>
      <c r="H154" s="54"/>
      <c r="I154" s="211"/>
      <c r="J154" s="211"/>
      <c r="K154" s="211"/>
      <c r="L154" s="211"/>
      <c r="M154" s="211"/>
      <c r="N154" s="211"/>
      <c r="O154" s="211"/>
      <c r="P154" s="212"/>
    </row>
    <row r="155" spans="1:16" ht="24.6" customHeight="1" x14ac:dyDescent="0.25">
      <c r="A155" s="29" t="s">
        <v>1233</v>
      </c>
      <c r="B155" s="30"/>
      <c r="C155" s="30"/>
      <c r="D155" s="30"/>
      <c r="E155" s="52"/>
      <c r="F155" s="52"/>
      <c r="G155" s="53"/>
      <c r="H155" s="54"/>
      <c r="I155" s="211"/>
      <c r="J155" s="211"/>
      <c r="K155" s="211"/>
      <c r="L155" s="211"/>
      <c r="M155" s="211"/>
      <c r="N155" s="211"/>
      <c r="O155" s="211"/>
      <c r="P155" s="212"/>
    </row>
    <row r="156" spans="1:16" ht="24.6" customHeight="1" x14ac:dyDescent="0.25">
      <c r="A156" s="29" t="s">
        <v>1234</v>
      </c>
      <c r="B156" s="30"/>
      <c r="C156" s="30"/>
      <c r="D156" s="30"/>
      <c r="E156" s="52"/>
      <c r="F156" s="52"/>
      <c r="G156" s="53"/>
      <c r="H156" s="54"/>
      <c r="I156" s="211"/>
      <c r="J156" s="211"/>
      <c r="K156" s="211"/>
      <c r="L156" s="211"/>
      <c r="M156" s="211"/>
      <c r="N156" s="211"/>
      <c r="O156" s="211"/>
      <c r="P156" s="212"/>
    </row>
    <row r="157" spans="1:16" ht="24.6" customHeight="1" x14ac:dyDescent="0.25">
      <c r="A157" s="29" t="s">
        <v>1235</v>
      </c>
      <c r="B157" s="30"/>
      <c r="C157" s="30"/>
      <c r="D157" s="30"/>
      <c r="E157" s="56"/>
      <c r="F157" s="56"/>
      <c r="G157" s="53"/>
      <c r="H157" s="54"/>
      <c r="I157" s="211"/>
      <c r="J157" s="211"/>
      <c r="K157" s="211"/>
      <c r="L157" s="211"/>
      <c r="M157" s="211"/>
      <c r="N157" s="211"/>
      <c r="O157" s="211"/>
      <c r="P157" s="212"/>
    </row>
    <row r="158" spans="1:16" ht="24.6" customHeight="1" thickBot="1" x14ac:dyDescent="0.3">
      <c r="A158" s="31" t="s">
        <v>1236</v>
      </c>
      <c r="B158" s="32"/>
      <c r="C158" s="32"/>
      <c r="D158" s="32"/>
      <c r="E158" s="32"/>
      <c r="F158" s="32"/>
      <c r="G158" s="57"/>
      <c r="H158" s="58"/>
      <c r="I158" s="213"/>
      <c r="J158" s="213"/>
      <c r="K158" s="213"/>
      <c r="L158" s="213"/>
      <c r="M158" s="213"/>
      <c r="N158" s="213"/>
      <c r="O158" s="213"/>
      <c r="P158" s="214"/>
    </row>
    <row r="159" spans="1:16" ht="24.6" customHeight="1" thickTop="1" x14ac:dyDescent="0.25">
      <c r="A159" s="59" t="s">
        <v>1237</v>
      </c>
      <c r="B159" s="60" t="s">
        <v>1168</v>
      </c>
      <c r="C159" s="60"/>
      <c r="D159" s="61"/>
      <c r="E159" s="61"/>
      <c r="F159" s="61"/>
      <c r="G159" s="62"/>
      <c r="H159" s="63"/>
      <c r="I159" s="64" t="s">
        <v>1238</v>
      </c>
      <c r="J159" s="63"/>
      <c r="K159" s="60"/>
      <c r="L159" s="60"/>
      <c r="M159" s="61"/>
      <c r="N159" s="61"/>
      <c r="O159" s="61"/>
      <c r="P159" s="65"/>
    </row>
    <row r="160" spans="1:16" ht="36" customHeight="1" x14ac:dyDescent="0.25">
      <c r="A160" s="30"/>
      <c r="B160" s="30"/>
      <c r="C160" s="30"/>
      <c r="D160" s="30"/>
      <c r="E160" s="30"/>
      <c r="F160" s="30"/>
      <c r="G160" s="30"/>
      <c r="H160" s="30"/>
      <c r="I160" s="30"/>
      <c r="J160" s="30"/>
      <c r="K160" s="30"/>
      <c r="L160" s="30"/>
      <c r="M160" s="30"/>
      <c r="N160" s="30"/>
      <c r="O160" s="30"/>
      <c r="P160" s="30"/>
    </row>
    <row r="161" spans="1:16" ht="24.6" customHeight="1" x14ac:dyDescent="0.25">
      <c r="A161" s="36" t="s">
        <v>1223</v>
      </c>
      <c r="B161" s="42"/>
      <c r="C161" s="42"/>
      <c r="D161" s="42"/>
      <c r="E161" s="42"/>
      <c r="F161" s="42"/>
      <c r="G161" s="43"/>
      <c r="H161" s="42"/>
      <c r="I161" s="42"/>
      <c r="J161" s="44"/>
      <c r="K161" s="42"/>
      <c r="L161" s="42"/>
      <c r="M161" s="42"/>
      <c r="N161" s="42"/>
      <c r="O161" s="42"/>
      <c r="P161" s="45"/>
    </row>
    <row r="162" spans="1:16" ht="24.6" customHeight="1" thickBot="1" x14ac:dyDescent="0.3">
      <c r="A162" s="33" t="s">
        <v>1224</v>
      </c>
      <c r="B162" s="34" t="s">
        <v>267</v>
      </c>
      <c r="C162" s="35"/>
      <c r="D162" s="46"/>
      <c r="E162" s="46"/>
      <c r="F162" s="46"/>
      <c r="G162" s="47"/>
      <c r="H162" s="35"/>
      <c r="I162" s="37" t="s">
        <v>1225</v>
      </c>
      <c r="J162" s="37">
        <v>278</v>
      </c>
      <c r="K162" s="38"/>
      <c r="L162" s="39" t="s">
        <v>1226</v>
      </c>
      <c r="M162" s="37">
        <v>3</v>
      </c>
      <c r="N162" s="37" t="s">
        <v>56</v>
      </c>
      <c r="O162" s="40" t="s">
        <v>1227</v>
      </c>
      <c r="P162" s="41">
        <v>194</v>
      </c>
    </row>
    <row r="163" spans="1:16" ht="24.6" customHeight="1" thickTop="1" x14ac:dyDescent="0.25">
      <c r="A163" s="29" t="s">
        <v>1229</v>
      </c>
      <c r="B163" s="30"/>
      <c r="C163" s="30"/>
      <c r="D163" s="30"/>
      <c r="E163" s="48"/>
      <c r="F163" s="48"/>
      <c r="G163" s="49"/>
      <c r="H163" s="50"/>
      <c r="I163" s="208" t="s">
        <v>1230</v>
      </c>
      <c r="J163" s="209"/>
      <c r="K163" s="209"/>
      <c r="L163" s="209"/>
      <c r="M163" s="209"/>
      <c r="N163" s="209"/>
      <c r="O163" s="209"/>
      <c r="P163" s="210"/>
    </row>
    <row r="164" spans="1:16" ht="24.6" customHeight="1" x14ac:dyDescent="0.25">
      <c r="A164" s="29" t="s">
        <v>1232</v>
      </c>
      <c r="B164" s="30"/>
      <c r="C164" s="30"/>
      <c r="D164" s="30"/>
      <c r="E164" s="52"/>
      <c r="F164" s="52"/>
      <c r="G164" s="53"/>
      <c r="H164" s="54"/>
      <c r="I164" s="211"/>
      <c r="J164" s="211"/>
      <c r="K164" s="211"/>
      <c r="L164" s="211"/>
      <c r="M164" s="211"/>
      <c r="N164" s="211"/>
      <c r="O164" s="211"/>
      <c r="P164" s="212"/>
    </row>
    <row r="165" spans="1:16" ht="24.6" customHeight="1" x14ac:dyDescent="0.25">
      <c r="A165" s="29" t="s">
        <v>1233</v>
      </c>
      <c r="B165" s="30"/>
      <c r="C165" s="30"/>
      <c r="D165" s="30"/>
      <c r="E165" s="52"/>
      <c r="F165" s="52"/>
      <c r="G165" s="53"/>
      <c r="H165" s="54"/>
      <c r="I165" s="211"/>
      <c r="J165" s="211"/>
      <c r="K165" s="211"/>
      <c r="L165" s="211"/>
      <c r="M165" s="211"/>
      <c r="N165" s="211"/>
      <c r="O165" s="211"/>
      <c r="P165" s="212"/>
    </row>
    <row r="166" spans="1:16" ht="24.6" customHeight="1" x14ac:dyDescent="0.25">
      <c r="A166" s="29" t="s">
        <v>1234</v>
      </c>
      <c r="B166" s="30"/>
      <c r="C166" s="30"/>
      <c r="D166" s="30"/>
      <c r="E166" s="52"/>
      <c r="F166" s="52"/>
      <c r="G166" s="53"/>
      <c r="H166" s="54"/>
      <c r="I166" s="211"/>
      <c r="J166" s="211"/>
      <c r="K166" s="211"/>
      <c r="L166" s="211"/>
      <c r="M166" s="211"/>
      <c r="N166" s="211"/>
      <c r="O166" s="211"/>
      <c r="P166" s="212"/>
    </row>
    <row r="167" spans="1:16" ht="24.6" customHeight="1" x14ac:dyDescent="0.25">
      <c r="A167" s="29" t="s">
        <v>1235</v>
      </c>
      <c r="B167" s="30"/>
      <c r="C167" s="30"/>
      <c r="D167" s="30"/>
      <c r="E167" s="56"/>
      <c r="F167" s="56"/>
      <c r="G167" s="53"/>
      <c r="H167" s="54"/>
      <c r="I167" s="211"/>
      <c r="J167" s="211"/>
      <c r="K167" s="211"/>
      <c r="L167" s="211"/>
      <c r="M167" s="211"/>
      <c r="N167" s="211"/>
      <c r="O167" s="211"/>
      <c r="P167" s="212"/>
    </row>
    <row r="168" spans="1:16" ht="24.6" customHeight="1" thickBot="1" x14ac:dyDescent="0.3">
      <c r="A168" s="31" t="s">
        <v>1236</v>
      </c>
      <c r="B168" s="32"/>
      <c r="C168" s="32"/>
      <c r="D168" s="32"/>
      <c r="E168" s="32"/>
      <c r="F168" s="32"/>
      <c r="G168" s="57"/>
      <c r="H168" s="58"/>
      <c r="I168" s="213"/>
      <c r="J168" s="213"/>
      <c r="K168" s="213"/>
      <c r="L168" s="213"/>
      <c r="M168" s="213"/>
      <c r="N168" s="213"/>
      <c r="O168" s="213"/>
      <c r="P168" s="214"/>
    </row>
    <row r="169" spans="1:16" ht="24.6" customHeight="1" thickTop="1" x14ac:dyDescent="0.25">
      <c r="A169" s="59" t="s">
        <v>1237</v>
      </c>
      <c r="B169" s="60" t="s">
        <v>1168</v>
      </c>
      <c r="C169" s="60"/>
      <c r="D169" s="61"/>
      <c r="E169" s="61"/>
      <c r="F169" s="61"/>
      <c r="G169" s="62"/>
      <c r="H169" s="63"/>
      <c r="I169" s="64" t="s">
        <v>1238</v>
      </c>
      <c r="J169" s="63"/>
      <c r="K169" s="60"/>
      <c r="L169" s="60"/>
      <c r="M169" s="61"/>
      <c r="N169" s="61"/>
      <c r="O169" s="61"/>
      <c r="P169" s="65"/>
    </row>
    <row r="170" spans="1:16" ht="36" customHeight="1" x14ac:dyDescent="0.25">
      <c r="A170" s="30"/>
      <c r="B170" s="30"/>
      <c r="C170" s="30"/>
      <c r="D170" s="30"/>
      <c r="E170" s="30"/>
      <c r="F170" s="30"/>
      <c r="G170" s="30"/>
      <c r="H170" s="30"/>
      <c r="I170" s="30"/>
      <c r="J170" s="30"/>
      <c r="K170" s="30"/>
      <c r="L170" s="30"/>
      <c r="M170" s="30"/>
      <c r="N170" s="30"/>
      <c r="O170" s="30"/>
      <c r="P170" s="30"/>
    </row>
    <row r="171" spans="1:16" ht="24.6" customHeight="1" x14ac:dyDescent="0.25"/>
    <row r="172" spans="1:16" ht="24.6" customHeight="1" x14ac:dyDescent="0.25"/>
    <row r="173" spans="1:16" ht="24.6" customHeight="1" x14ac:dyDescent="0.25"/>
    <row r="174" spans="1:16" ht="24.6" customHeight="1" x14ac:dyDescent="0.25"/>
    <row r="175" spans="1:16" ht="24.6" customHeight="1" x14ac:dyDescent="0.25"/>
    <row r="176" spans="1:16" ht="24.6" customHeight="1" x14ac:dyDescent="0.25"/>
    <row r="177" ht="24.6" customHeight="1" x14ac:dyDescent="0.25"/>
    <row r="178" ht="24.6" customHeight="1" x14ac:dyDescent="0.25"/>
    <row r="179" ht="24.6" customHeight="1" x14ac:dyDescent="0.25"/>
    <row r="180" ht="36" customHeight="1" x14ac:dyDescent="0.25"/>
    <row r="181" ht="24.6" customHeight="1" x14ac:dyDescent="0.25"/>
    <row r="182" ht="24.6" customHeight="1" x14ac:dyDescent="0.25"/>
    <row r="183" ht="24.6" customHeight="1" x14ac:dyDescent="0.25"/>
    <row r="184" ht="24.6" customHeight="1" x14ac:dyDescent="0.25"/>
    <row r="185" ht="24.6" customHeight="1" x14ac:dyDescent="0.25"/>
    <row r="186" ht="24.6" customHeight="1" x14ac:dyDescent="0.25"/>
    <row r="187" ht="24.6" customHeight="1" x14ac:dyDescent="0.25"/>
    <row r="188" ht="24.6" customHeight="1" x14ac:dyDescent="0.25"/>
    <row r="189" ht="24.6" customHeight="1" x14ac:dyDescent="0.25"/>
    <row r="190" ht="36" customHeight="1" x14ac:dyDescent="0.25"/>
    <row r="191" ht="24.6" customHeight="1" x14ac:dyDescent="0.25"/>
    <row r="192" ht="24.6" customHeight="1" x14ac:dyDescent="0.25"/>
    <row r="193" ht="24.6" customHeight="1" x14ac:dyDescent="0.25"/>
    <row r="194" ht="24.6" customHeight="1" x14ac:dyDescent="0.25"/>
    <row r="195" ht="24.6" customHeight="1" x14ac:dyDescent="0.25"/>
    <row r="196" ht="24.6" customHeight="1" x14ac:dyDescent="0.25"/>
    <row r="197" ht="24.6" customHeight="1" x14ac:dyDescent="0.25"/>
    <row r="198" ht="24.6" customHeight="1" x14ac:dyDescent="0.25"/>
    <row r="199" ht="24.6" customHeight="1" x14ac:dyDescent="0.25"/>
    <row r="200" ht="36" customHeight="1" x14ac:dyDescent="0.25"/>
    <row r="201" ht="24.6" customHeight="1" x14ac:dyDescent="0.25"/>
    <row r="202" ht="24.6" customHeight="1" x14ac:dyDescent="0.25"/>
    <row r="203" ht="24.6" customHeight="1" x14ac:dyDescent="0.25"/>
    <row r="204" ht="24.6" customHeight="1" x14ac:dyDescent="0.25"/>
    <row r="205" ht="24.6" customHeight="1" x14ac:dyDescent="0.25"/>
    <row r="206" ht="24.6" customHeight="1" x14ac:dyDescent="0.25"/>
    <row r="207" ht="24.6" customHeight="1" x14ac:dyDescent="0.25"/>
    <row r="208" ht="24.6" customHeight="1" x14ac:dyDescent="0.25"/>
    <row r="209" ht="24.6" customHeight="1" x14ac:dyDescent="0.25"/>
    <row r="210" ht="36" customHeight="1" x14ac:dyDescent="0.25"/>
    <row r="211" ht="24.6" customHeight="1" x14ac:dyDescent="0.25"/>
    <row r="212" ht="24.6" customHeight="1" x14ac:dyDescent="0.25"/>
    <row r="213" ht="24.6" customHeight="1" x14ac:dyDescent="0.25"/>
    <row r="214" ht="24.6" customHeight="1" x14ac:dyDescent="0.25"/>
    <row r="215" ht="24.6" customHeight="1" x14ac:dyDescent="0.25"/>
    <row r="216" ht="24.6" customHeight="1" x14ac:dyDescent="0.25"/>
    <row r="217" ht="24.6" customHeight="1" x14ac:dyDescent="0.25"/>
    <row r="218" ht="24.6" customHeight="1" x14ac:dyDescent="0.25"/>
    <row r="219" ht="24.6" customHeight="1" x14ac:dyDescent="0.25"/>
    <row r="220" ht="36" customHeight="1" x14ac:dyDescent="0.25"/>
    <row r="221" ht="24.6" customHeight="1" x14ac:dyDescent="0.25"/>
    <row r="222" ht="24.6" customHeight="1" x14ac:dyDescent="0.25"/>
    <row r="223" ht="24.6" customHeight="1" x14ac:dyDescent="0.25"/>
    <row r="224" ht="24.6" customHeight="1" x14ac:dyDescent="0.25"/>
    <row r="225" ht="24.6" customHeight="1" x14ac:dyDescent="0.25"/>
    <row r="226" ht="24.6" customHeight="1" x14ac:dyDescent="0.25"/>
    <row r="227" ht="24.6" customHeight="1" x14ac:dyDescent="0.25"/>
    <row r="228" ht="24.6" customHeight="1" x14ac:dyDescent="0.25"/>
    <row r="229" ht="24.6" customHeight="1" x14ac:dyDescent="0.25"/>
    <row r="230" ht="36" customHeight="1" x14ac:dyDescent="0.25"/>
    <row r="231" ht="24.6" customHeight="1" x14ac:dyDescent="0.25"/>
    <row r="232" ht="24.6" customHeight="1" x14ac:dyDescent="0.25"/>
    <row r="233" ht="24.6" customHeight="1" x14ac:dyDescent="0.25"/>
    <row r="234" ht="24.6" customHeight="1" x14ac:dyDescent="0.25"/>
    <row r="235" ht="24.6" customHeight="1" x14ac:dyDescent="0.25"/>
    <row r="236" ht="24.6" customHeight="1" x14ac:dyDescent="0.25"/>
    <row r="237" ht="24.6" customHeight="1" x14ac:dyDescent="0.25"/>
    <row r="238" ht="24.6" customHeight="1" x14ac:dyDescent="0.25"/>
    <row r="239" ht="24.6" customHeight="1" x14ac:dyDescent="0.25"/>
    <row r="240" ht="36" customHeight="1" x14ac:dyDescent="0.25"/>
    <row r="241" ht="24.6" customHeight="1" x14ac:dyDescent="0.25"/>
    <row r="242" ht="24.6" customHeight="1" x14ac:dyDescent="0.25"/>
    <row r="243" ht="24.6" customHeight="1" x14ac:dyDescent="0.25"/>
    <row r="244" ht="24.6" customHeight="1" x14ac:dyDescent="0.25"/>
    <row r="245" ht="24.6" customHeight="1" x14ac:dyDescent="0.25"/>
    <row r="246" ht="24.6" customHeight="1" x14ac:dyDescent="0.25"/>
    <row r="247" ht="24.6" customHeight="1" x14ac:dyDescent="0.25"/>
    <row r="248" ht="24.6" customHeight="1" x14ac:dyDescent="0.25"/>
    <row r="249" ht="24.6" customHeight="1" x14ac:dyDescent="0.25"/>
    <row r="250" ht="36" customHeight="1" x14ac:dyDescent="0.25"/>
    <row r="251" ht="24.6" customHeight="1" x14ac:dyDescent="0.25"/>
    <row r="252" ht="24.6" customHeight="1" x14ac:dyDescent="0.25"/>
    <row r="253" ht="24.6" customHeight="1" x14ac:dyDescent="0.25"/>
    <row r="254" ht="24.6" customHeight="1" x14ac:dyDescent="0.25"/>
    <row r="255" ht="24.6" customHeight="1" x14ac:dyDescent="0.25"/>
    <row r="256" ht="24.6" customHeight="1" x14ac:dyDescent="0.25"/>
    <row r="257" ht="24.6" customHeight="1" x14ac:dyDescent="0.25"/>
    <row r="258" ht="24.6" customHeight="1" x14ac:dyDescent="0.25"/>
    <row r="259" ht="24.6" customHeight="1" x14ac:dyDescent="0.25"/>
    <row r="260" ht="36" customHeight="1" x14ac:dyDescent="0.25"/>
    <row r="261" ht="24.6" customHeight="1" x14ac:dyDescent="0.25"/>
    <row r="262" ht="24.6" customHeight="1" x14ac:dyDescent="0.25"/>
    <row r="263" ht="24.6" customHeight="1" x14ac:dyDescent="0.25"/>
    <row r="264" ht="24.6" customHeight="1" x14ac:dyDescent="0.25"/>
    <row r="265" ht="24.6" customHeight="1" x14ac:dyDescent="0.25"/>
    <row r="266" ht="24.6" customHeight="1" x14ac:dyDescent="0.25"/>
    <row r="267" ht="24.6" customHeight="1" x14ac:dyDescent="0.25"/>
    <row r="268" ht="24.6" customHeight="1" x14ac:dyDescent="0.25"/>
    <row r="269" ht="24.6" customHeight="1" x14ac:dyDescent="0.25"/>
    <row r="270" ht="36" customHeight="1" x14ac:dyDescent="0.25"/>
    <row r="271" ht="24.6" customHeight="1" x14ac:dyDescent="0.25"/>
    <row r="272" ht="24.6" customHeight="1" x14ac:dyDescent="0.25"/>
    <row r="273" ht="24.6" customHeight="1" x14ac:dyDescent="0.25"/>
    <row r="274" ht="24.6" customHeight="1" x14ac:dyDescent="0.25"/>
    <row r="275" ht="24.6" customHeight="1" x14ac:dyDescent="0.25"/>
    <row r="276" ht="24.6" customHeight="1" x14ac:dyDescent="0.25"/>
    <row r="277" ht="24.6" customHeight="1" x14ac:dyDescent="0.25"/>
    <row r="278" ht="24.6" customHeight="1" x14ac:dyDescent="0.25"/>
    <row r="279" ht="24.6" customHeight="1" x14ac:dyDescent="0.25"/>
    <row r="280" ht="36" customHeight="1" x14ac:dyDescent="0.25"/>
    <row r="281" ht="24.6" customHeight="1" x14ac:dyDescent="0.25"/>
    <row r="282" ht="24.6" customHeight="1" x14ac:dyDescent="0.25"/>
    <row r="283" ht="24.6" customHeight="1" x14ac:dyDescent="0.25"/>
    <row r="284" ht="24.6" customHeight="1" x14ac:dyDescent="0.25"/>
    <row r="285" ht="24.6" customHeight="1" x14ac:dyDescent="0.25"/>
    <row r="286" ht="24.6" customHeight="1" x14ac:dyDescent="0.25"/>
    <row r="287" ht="24.6" customHeight="1" x14ac:dyDescent="0.25"/>
    <row r="288" ht="24.6" customHeight="1" x14ac:dyDescent="0.25"/>
    <row r="289" ht="24.6" customHeight="1" x14ac:dyDescent="0.25"/>
    <row r="290" ht="36" customHeight="1" x14ac:dyDescent="0.25"/>
    <row r="291" ht="24.6" customHeight="1" x14ac:dyDescent="0.25"/>
    <row r="292" ht="24.6" customHeight="1" x14ac:dyDescent="0.25"/>
    <row r="293" ht="24.6" customHeight="1" x14ac:dyDescent="0.25"/>
    <row r="294" ht="24.6" customHeight="1" x14ac:dyDescent="0.25"/>
    <row r="295" ht="24.6" customHeight="1" x14ac:dyDescent="0.25"/>
    <row r="296" ht="24.6" customHeight="1" x14ac:dyDescent="0.25"/>
    <row r="297" ht="24.6" customHeight="1" x14ac:dyDescent="0.25"/>
    <row r="298" ht="24.6" customHeight="1" x14ac:dyDescent="0.25"/>
    <row r="299" ht="24.6" customHeight="1" x14ac:dyDescent="0.25"/>
    <row r="300" ht="36" customHeight="1" x14ac:dyDescent="0.25"/>
    <row r="301" ht="24.6" customHeight="1" x14ac:dyDescent="0.25"/>
    <row r="302" ht="24.6" customHeight="1" x14ac:dyDescent="0.25"/>
    <row r="303" ht="24.6" customHeight="1" x14ac:dyDescent="0.25"/>
    <row r="304" ht="24.6" customHeight="1" x14ac:dyDescent="0.25"/>
    <row r="305" ht="24.6" customHeight="1" x14ac:dyDescent="0.25"/>
    <row r="306" ht="24.6" customHeight="1" x14ac:dyDescent="0.25"/>
    <row r="307" ht="24.6" customHeight="1" x14ac:dyDescent="0.25"/>
    <row r="308" ht="24.6" customHeight="1" x14ac:dyDescent="0.25"/>
    <row r="309" ht="24.6" customHeight="1" x14ac:dyDescent="0.25"/>
    <row r="310" ht="36" customHeight="1" x14ac:dyDescent="0.25"/>
    <row r="311" ht="24.6" customHeight="1" x14ac:dyDescent="0.25"/>
    <row r="312" ht="24.6" customHeight="1" x14ac:dyDescent="0.25"/>
    <row r="313" ht="24.6" customHeight="1" x14ac:dyDescent="0.25"/>
    <row r="314" ht="24.6" customHeight="1" x14ac:dyDescent="0.25"/>
    <row r="315" ht="24.6" customHeight="1" x14ac:dyDescent="0.25"/>
    <row r="316" ht="24.6" customHeight="1" x14ac:dyDescent="0.25"/>
    <row r="317" ht="24.6" customHeight="1" x14ac:dyDescent="0.25"/>
    <row r="318" ht="24.6" customHeight="1" x14ac:dyDescent="0.25"/>
    <row r="319" ht="24.6" customHeight="1" x14ac:dyDescent="0.25"/>
    <row r="320" ht="36" customHeight="1" x14ac:dyDescent="0.25"/>
    <row r="321" ht="24.6" customHeight="1" x14ac:dyDescent="0.25"/>
    <row r="322" ht="24.6" customHeight="1" x14ac:dyDescent="0.25"/>
    <row r="323" ht="24.6" customHeight="1" x14ac:dyDescent="0.25"/>
    <row r="324" ht="24.6" customHeight="1" x14ac:dyDescent="0.25"/>
    <row r="325" ht="24.6" customHeight="1" x14ac:dyDescent="0.25"/>
    <row r="326" ht="24.6" customHeight="1" x14ac:dyDescent="0.25"/>
    <row r="327" ht="24.6" customHeight="1" x14ac:dyDescent="0.25"/>
    <row r="328" ht="24.6" customHeight="1" x14ac:dyDescent="0.25"/>
    <row r="329" ht="24.6" customHeight="1" x14ac:dyDescent="0.25"/>
    <row r="330" ht="36" customHeight="1" x14ac:dyDescent="0.25"/>
    <row r="331" ht="24.6" customHeight="1" x14ac:dyDescent="0.25"/>
    <row r="332" ht="24.6" customHeight="1" x14ac:dyDescent="0.25"/>
    <row r="333" ht="24.6" customHeight="1" x14ac:dyDescent="0.25"/>
    <row r="334" ht="24.6" customHeight="1" x14ac:dyDescent="0.25"/>
    <row r="335" ht="24.6" customHeight="1" x14ac:dyDescent="0.25"/>
    <row r="336" ht="24.6" customHeight="1" x14ac:dyDescent="0.25"/>
    <row r="337" ht="24.6" customHeight="1" x14ac:dyDescent="0.25"/>
    <row r="338" ht="24.6" customHeight="1" x14ac:dyDescent="0.25"/>
    <row r="339" ht="24.6" customHeight="1" x14ac:dyDescent="0.25"/>
    <row r="340" ht="36" customHeight="1" x14ac:dyDescent="0.25"/>
    <row r="341" ht="24.6" customHeight="1" x14ac:dyDescent="0.25"/>
    <row r="342" ht="24.6" customHeight="1" x14ac:dyDescent="0.25"/>
    <row r="343" ht="24.6" customHeight="1" x14ac:dyDescent="0.25"/>
    <row r="344" ht="24.6" customHeight="1" x14ac:dyDescent="0.25"/>
    <row r="345" ht="24.6" customHeight="1" x14ac:dyDescent="0.25"/>
    <row r="346" ht="24.6" customHeight="1" x14ac:dyDescent="0.25"/>
    <row r="347" ht="24.6" customHeight="1" x14ac:dyDescent="0.25"/>
    <row r="348" ht="24.6" customHeight="1" x14ac:dyDescent="0.25"/>
    <row r="349" ht="24.6" customHeight="1" x14ac:dyDescent="0.25"/>
    <row r="350" ht="36" customHeight="1" x14ac:dyDescent="0.25"/>
    <row r="351" ht="24.6" customHeight="1" x14ac:dyDescent="0.25"/>
    <row r="352" ht="24.6" customHeight="1" x14ac:dyDescent="0.25"/>
    <row r="353" ht="24.6" customHeight="1" x14ac:dyDescent="0.25"/>
    <row r="354" ht="24.6" customHeight="1" x14ac:dyDescent="0.25"/>
    <row r="355" ht="24.6" customHeight="1" x14ac:dyDescent="0.25"/>
    <row r="356" ht="24.6" customHeight="1" x14ac:dyDescent="0.25"/>
    <row r="357" ht="24.6" customHeight="1" x14ac:dyDescent="0.25"/>
    <row r="358" ht="24.6" customHeight="1" x14ac:dyDescent="0.25"/>
    <row r="359" ht="24.6" customHeight="1" x14ac:dyDescent="0.25"/>
    <row r="360" ht="36" customHeight="1" x14ac:dyDescent="0.25"/>
    <row r="361" ht="24.6" customHeight="1" x14ac:dyDescent="0.25"/>
    <row r="362" ht="24.6" customHeight="1" x14ac:dyDescent="0.25"/>
    <row r="363" ht="24.6" customHeight="1" x14ac:dyDescent="0.25"/>
    <row r="364" ht="24.6" customHeight="1" x14ac:dyDescent="0.25"/>
    <row r="365" ht="24.6" customHeight="1" x14ac:dyDescent="0.25"/>
    <row r="366" ht="24.6" customHeight="1" x14ac:dyDescent="0.25"/>
    <row r="367" ht="24.6" customHeight="1" x14ac:dyDescent="0.25"/>
    <row r="368" ht="24.6" customHeight="1" x14ac:dyDescent="0.25"/>
    <row r="369" ht="24.6" customHeight="1" x14ac:dyDescent="0.25"/>
    <row r="370" ht="36" customHeight="1" x14ac:dyDescent="0.25"/>
    <row r="371" ht="24.6" customHeight="1" x14ac:dyDescent="0.25"/>
    <row r="372" ht="24.6" customHeight="1" x14ac:dyDescent="0.25"/>
    <row r="373" ht="24.6" customHeight="1" x14ac:dyDescent="0.25"/>
    <row r="374" ht="24.6" customHeight="1" x14ac:dyDescent="0.25"/>
    <row r="375" ht="24.6" customHeight="1" x14ac:dyDescent="0.25"/>
    <row r="376" ht="24.6" customHeight="1" x14ac:dyDescent="0.25"/>
    <row r="377" ht="24.6" customHeight="1" x14ac:dyDescent="0.25"/>
    <row r="378" ht="24.6" customHeight="1" x14ac:dyDescent="0.25"/>
    <row r="379" ht="24.6" customHeight="1" x14ac:dyDescent="0.25"/>
    <row r="380" ht="36" customHeight="1" x14ac:dyDescent="0.25"/>
    <row r="381" ht="24.6" customHeight="1" x14ac:dyDescent="0.25"/>
    <row r="382" ht="24.6" customHeight="1" x14ac:dyDescent="0.25"/>
    <row r="383" ht="24.6" customHeight="1" x14ac:dyDescent="0.25"/>
    <row r="384" ht="24.6" customHeight="1" x14ac:dyDescent="0.25"/>
    <row r="385" ht="24.6" customHeight="1" x14ac:dyDescent="0.25"/>
    <row r="386" ht="24.6" customHeight="1" x14ac:dyDescent="0.25"/>
    <row r="387" ht="24.6" customHeight="1" x14ac:dyDescent="0.25"/>
    <row r="388" ht="24.6" customHeight="1" x14ac:dyDescent="0.25"/>
    <row r="389" ht="24.6" customHeight="1" x14ac:dyDescent="0.25"/>
    <row r="390" ht="36" customHeight="1" x14ac:dyDescent="0.25"/>
    <row r="391" ht="24.6" customHeight="1" x14ac:dyDescent="0.25"/>
    <row r="392" ht="24.6" customHeight="1" x14ac:dyDescent="0.25"/>
    <row r="393" ht="24.6" customHeight="1" x14ac:dyDescent="0.25"/>
    <row r="394" ht="24.6" customHeight="1" x14ac:dyDescent="0.25"/>
    <row r="395" ht="24.6" customHeight="1" x14ac:dyDescent="0.25"/>
    <row r="396" ht="24.6" customHeight="1" x14ac:dyDescent="0.25"/>
    <row r="397" ht="24.6" customHeight="1" x14ac:dyDescent="0.25"/>
    <row r="398" ht="24.6" customHeight="1" x14ac:dyDescent="0.25"/>
    <row r="399" ht="24.6" customHeight="1" x14ac:dyDescent="0.25"/>
    <row r="400" ht="36" customHeight="1" x14ac:dyDescent="0.25"/>
    <row r="401" ht="24.6" customHeight="1" x14ac:dyDescent="0.25"/>
    <row r="402" ht="24.6" customHeight="1" x14ac:dyDescent="0.25"/>
    <row r="403" ht="24.6" customHeight="1" x14ac:dyDescent="0.25"/>
    <row r="404" ht="24.6" customHeight="1" x14ac:dyDescent="0.25"/>
    <row r="405" ht="24.6" customHeight="1" x14ac:dyDescent="0.25"/>
    <row r="406" ht="24.6" customHeight="1" x14ac:dyDescent="0.25"/>
    <row r="407" ht="24.6" customHeight="1" x14ac:dyDescent="0.25"/>
    <row r="408" ht="24.6" customHeight="1" x14ac:dyDescent="0.25"/>
    <row r="409" ht="24.6" customHeight="1" x14ac:dyDescent="0.25"/>
    <row r="410" ht="36" customHeight="1" x14ac:dyDescent="0.25"/>
    <row r="411" ht="24.6" customHeight="1" x14ac:dyDescent="0.25"/>
    <row r="412" ht="24.6" customHeight="1" x14ac:dyDescent="0.25"/>
    <row r="413" ht="24.6" customHeight="1" x14ac:dyDescent="0.25"/>
    <row r="414" ht="24.6" customHeight="1" x14ac:dyDescent="0.25"/>
    <row r="415" ht="24.6" customHeight="1" x14ac:dyDescent="0.25"/>
    <row r="416" ht="24.6" customHeight="1" x14ac:dyDescent="0.25"/>
    <row r="417" ht="24.6" customHeight="1" x14ac:dyDescent="0.25"/>
    <row r="418" ht="24.6" customHeight="1" x14ac:dyDescent="0.25"/>
    <row r="419" ht="24.6" customHeight="1" x14ac:dyDescent="0.25"/>
    <row r="420" ht="36" customHeight="1" x14ac:dyDescent="0.25"/>
    <row r="421" ht="24.6" customHeight="1" x14ac:dyDescent="0.25"/>
    <row r="422" ht="24.6" customHeight="1" x14ac:dyDescent="0.25"/>
    <row r="423" ht="24.6" customHeight="1" x14ac:dyDescent="0.25"/>
    <row r="424" ht="24.6" customHeight="1" x14ac:dyDescent="0.25"/>
    <row r="425" ht="24.6" customHeight="1" x14ac:dyDescent="0.25"/>
    <row r="426" ht="24.6" customHeight="1" x14ac:dyDescent="0.25"/>
    <row r="427" ht="24.6" customHeight="1" x14ac:dyDescent="0.25"/>
    <row r="428" ht="24.6" customHeight="1" x14ac:dyDescent="0.25"/>
    <row r="429" ht="24.6" customHeight="1" x14ac:dyDescent="0.25"/>
    <row r="430" ht="36" customHeight="1" x14ac:dyDescent="0.25"/>
    <row r="431" ht="24.6" customHeight="1" x14ac:dyDescent="0.25"/>
    <row r="432" ht="24.6" customHeight="1" x14ac:dyDescent="0.25"/>
    <row r="433" ht="24.6" customHeight="1" x14ac:dyDescent="0.25"/>
    <row r="434" ht="24.6" customHeight="1" x14ac:dyDescent="0.25"/>
    <row r="435" ht="24.6" customHeight="1" x14ac:dyDescent="0.25"/>
    <row r="436" ht="24.6" customHeight="1" x14ac:dyDescent="0.25"/>
    <row r="437" ht="24.6" customHeight="1" x14ac:dyDescent="0.25"/>
    <row r="438" ht="24.6" customHeight="1" x14ac:dyDescent="0.25"/>
    <row r="439" ht="24.6" customHeight="1" x14ac:dyDescent="0.25"/>
    <row r="440" ht="36" customHeight="1" x14ac:dyDescent="0.25"/>
    <row r="441" ht="24.6" customHeight="1" x14ac:dyDescent="0.25"/>
    <row r="442" ht="24.6" customHeight="1" x14ac:dyDescent="0.25"/>
    <row r="443" ht="24.6" customHeight="1" x14ac:dyDescent="0.25"/>
    <row r="444" ht="24.6" customHeight="1" x14ac:dyDescent="0.25"/>
    <row r="445" ht="24.6" customHeight="1" x14ac:dyDescent="0.25"/>
    <row r="446" ht="24.6" customHeight="1" x14ac:dyDescent="0.25"/>
    <row r="447" ht="24.6" customHeight="1" x14ac:dyDescent="0.25"/>
    <row r="448" ht="24.6" customHeight="1" x14ac:dyDescent="0.25"/>
    <row r="449" ht="24.6" customHeight="1" x14ac:dyDescent="0.25"/>
    <row r="450" ht="36" customHeight="1" x14ac:dyDescent="0.25"/>
    <row r="451" ht="24.6" customHeight="1" x14ac:dyDescent="0.25"/>
    <row r="452" ht="24.6" customHeight="1" x14ac:dyDescent="0.25"/>
    <row r="453" ht="24.6" customHeight="1" x14ac:dyDescent="0.25"/>
    <row r="454" ht="24.6" customHeight="1" x14ac:dyDescent="0.25"/>
    <row r="455" ht="24.6" customHeight="1" x14ac:dyDescent="0.25"/>
    <row r="456" ht="24.6" customHeight="1" x14ac:dyDescent="0.25"/>
    <row r="457" ht="24.6" customHeight="1" x14ac:dyDescent="0.25"/>
    <row r="458" ht="24.6" customHeight="1" x14ac:dyDescent="0.25"/>
    <row r="459" ht="24.6" customHeight="1" x14ac:dyDescent="0.25"/>
    <row r="460" ht="36" customHeight="1" x14ac:dyDescent="0.25"/>
    <row r="461" ht="24.6" customHeight="1" x14ac:dyDescent="0.25"/>
    <row r="462" ht="24.6" customHeight="1" x14ac:dyDescent="0.25"/>
    <row r="463" ht="24.6" customHeight="1" x14ac:dyDescent="0.25"/>
    <row r="464" ht="24.6" customHeight="1" x14ac:dyDescent="0.25"/>
    <row r="465" ht="24.6" customHeight="1" x14ac:dyDescent="0.25"/>
    <row r="466" ht="24.6" customHeight="1" x14ac:dyDescent="0.25"/>
    <row r="467" ht="24.6" customHeight="1" x14ac:dyDescent="0.25"/>
    <row r="468" ht="24.6" customHeight="1" x14ac:dyDescent="0.25"/>
    <row r="469" ht="24.6" customHeight="1" x14ac:dyDescent="0.25"/>
    <row r="470" ht="36" customHeight="1" x14ac:dyDescent="0.25"/>
    <row r="471" ht="24.6" customHeight="1" x14ac:dyDescent="0.25"/>
    <row r="472" ht="24.6" customHeight="1" x14ac:dyDescent="0.25"/>
    <row r="473" ht="24.6" customHeight="1" x14ac:dyDescent="0.25"/>
    <row r="474" ht="24.6" customHeight="1" x14ac:dyDescent="0.25"/>
    <row r="475" ht="24.6" customHeight="1" x14ac:dyDescent="0.25"/>
    <row r="476" ht="24.6" customHeight="1" x14ac:dyDescent="0.25"/>
    <row r="477" ht="24.6" customHeight="1" x14ac:dyDescent="0.25"/>
    <row r="478" ht="24.6" customHeight="1" x14ac:dyDescent="0.25"/>
    <row r="479" ht="24.6" customHeight="1" x14ac:dyDescent="0.25"/>
    <row r="480" ht="36" customHeight="1" x14ac:dyDescent="0.25"/>
    <row r="481" ht="24.6" customHeight="1" x14ac:dyDescent="0.25"/>
    <row r="482" ht="24.6" customHeight="1" x14ac:dyDescent="0.25"/>
    <row r="483" ht="24.6" customHeight="1" x14ac:dyDescent="0.25"/>
    <row r="484" ht="24.6" customHeight="1" x14ac:dyDescent="0.25"/>
    <row r="485" ht="24.6" customHeight="1" x14ac:dyDescent="0.25"/>
    <row r="486" ht="24.6" customHeight="1" x14ac:dyDescent="0.25"/>
    <row r="487" ht="24.6" customHeight="1" x14ac:dyDescent="0.25"/>
    <row r="488" ht="24.6" customHeight="1" x14ac:dyDescent="0.25"/>
    <row r="489" ht="24.6" customHeight="1" x14ac:dyDescent="0.25"/>
    <row r="490" ht="36" customHeight="1" x14ac:dyDescent="0.25"/>
    <row r="491" ht="24.6" customHeight="1" x14ac:dyDescent="0.25"/>
    <row r="492" ht="24.6" customHeight="1" x14ac:dyDescent="0.25"/>
    <row r="493" ht="24.6" customHeight="1" x14ac:dyDescent="0.25"/>
    <row r="494" ht="24.6" customHeight="1" x14ac:dyDescent="0.25"/>
    <row r="495" ht="24.6" customHeight="1" x14ac:dyDescent="0.25"/>
    <row r="496" ht="24.6" customHeight="1" x14ac:dyDescent="0.25"/>
    <row r="497" ht="24.6" customHeight="1" x14ac:dyDescent="0.25"/>
    <row r="498" ht="24.6" customHeight="1" x14ac:dyDescent="0.25"/>
    <row r="499" ht="24.6" customHeight="1" x14ac:dyDescent="0.25"/>
    <row r="500" ht="36" customHeight="1" x14ac:dyDescent="0.25"/>
    <row r="501" ht="24.6" customHeight="1" x14ac:dyDescent="0.25"/>
    <row r="502" ht="24.6" customHeight="1" x14ac:dyDescent="0.25"/>
    <row r="503" ht="24.6" customHeight="1" x14ac:dyDescent="0.25"/>
    <row r="504" ht="24.6" customHeight="1" x14ac:dyDescent="0.25"/>
    <row r="505" ht="24.6" customHeight="1" x14ac:dyDescent="0.25"/>
    <row r="506" ht="24.6" customHeight="1" x14ac:dyDescent="0.25"/>
    <row r="507" ht="24.6" customHeight="1" x14ac:dyDescent="0.25"/>
    <row r="508" ht="24.6" customHeight="1" x14ac:dyDescent="0.25"/>
    <row r="509" ht="24.6" customHeight="1" x14ac:dyDescent="0.25"/>
    <row r="510" ht="36" customHeight="1" x14ac:dyDescent="0.25"/>
    <row r="511" ht="24.6" customHeight="1" x14ac:dyDescent="0.25"/>
    <row r="512" ht="24.6" customHeight="1" x14ac:dyDescent="0.25"/>
    <row r="513" ht="24.6" customHeight="1" x14ac:dyDescent="0.25"/>
    <row r="514" ht="24.6" customHeight="1" x14ac:dyDescent="0.25"/>
    <row r="515" ht="24.6" customHeight="1" x14ac:dyDescent="0.25"/>
    <row r="516" ht="24.6" customHeight="1" x14ac:dyDescent="0.25"/>
    <row r="517" ht="24.6" customHeight="1" x14ac:dyDescent="0.25"/>
    <row r="518" ht="24.6" customHeight="1" x14ac:dyDescent="0.25"/>
    <row r="519" ht="24.6" customHeight="1" x14ac:dyDescent="0.25"/>
    <row r="520" ht="36" customHeight="1" x14ac:dyDescent="0.25"/>
    <row r="521" ht="24.6" customHeight="1" x14ac:dyDescent="0.25"/>
    <row r="522" ht="24.6" customHeight="1" x14ac:dyDescent="0.25"/>
    <row r="523" ht="24.6" customHeight="1" x14ac:dyDescent="0.25"/>
    <row r="524" ht="24.6" customHeight="1" x14ac:dyDescent="0.25"/>
    <row r="525" ht="24.6" customHeight="1" x14ac:dyDescent="0.25"/>
    <row r="526" ht="24.6" customHeight="1" x14ac:dyDescent="0.25"/>
    <row r="527" ht="24.6" customHeight="1" x14ac:dyDescent="0.25"/>
    <row r="528" ht="24.6" customHeight="1" x14ac:dyDescent="0.25"/>
    <row r="529" ht="24.6" customHeight="1" x14ac:dyDescent="0.25"/>
    <row r="530" ht="36" customHeight="1" x14ac:dyDescent="0.25"/>
    <row r="531" ht="24.6" customHeight="1" x14ac:dyDescent="0.25"/>
    <row r="532" ht="24.6" customHeight="1" x14ac:dyDescent="0.25"/>
    <row r="533" ht="24.6" customHeight="1" x14ac:dyDescent="0.25"/>
    <row r="534" ht="24.6" customHeight="1" x14ac:dyDescent="0.25"/>
    <row r="535" ht="24.6" customHeight="1" x14ac:dyDescent="0.25"/>
    <row r="536" ht="24.6" customHeight="1" x14ac:dyDescent="0.25"/>
    <row r="537" ht="24.6" customHeight="1" x14ac:dyDescent="0.25"/>
    <row r="538" ht="24.6" customHeight="1" x14ac:dyDescent="0.25"/>
    <row r="539" ht="24.6" customHeight="1" x14ac:dyDescent="0.25"/>
    <row r="540" ht="36" customHeight="1" x14ac:dyDescent="0.25"/>
    <row r="541" ht="24.6" customHeight="1" x14ac:dyDescent="0.25"/>
    <row r="542" ht="24.6" customHeight="1" x14ac:dyDescent="0.25"/>
    <row r="543" ht="24.6" customHeight="1" x14ac:dyDescent="0.25"/>
    <row r="544" ht="24.6" customHeight="1" x14ac:dyDescent="0.25"/>
    <row r="545" ht="24.6" customHeight="1" x14ac:dyDescent="0.25"/>
    <row r="546" ht="24.6" customHeight="1" x14ac:dyDescent="0.25"/>
    <row r="547" ht="24.6" customHeight="1" x14ac:dyDescent="0.25"/>
    <row r="548" ht="24.6" customHeight="1" x14ac:dyDescent="0.25"/>
    <row r="549" ht="24.6" customHeight="1" x14ac:dyDescent="0.25"/>
    <row r="550" ht="36" customHeight="1" x14ac:dyDescent="0.25"/>
    <row r="551" ht="24.6" customHeight="1" x14ac:dyDescent="0.25"/>
    <row r="552" ht="24.6" customHeight="1" x14ac:dyDescent="0.25"/>
    <row r="553" ht="24.6" customHeight="1" x14ac:dyDescent="0.25"/>
    <row r="554" ht="24.6" customHeight="1" x14ac:dyDescent="0.25"/>
    <row r="555" ht="24.6" customHeight="1" x14ac:dyDescent="0.25"/>
    <row r="556" ht="24.6" customHeight="1" x14ac:dyDescent="0.25"/>
    <row r="557" ht="24.6" customHeight="1" x14ac:dyDescent="0.25"/>
    <row r="558" ht="24.6" customHeight="1" x14ac:dyDescent="0.25"/>
    <row r="559" ht="24.6" customHeight="1" x14ac:dyDescent="0.25"/>
    <row r="560" ht="36" customHeight="1" x14ac:dyDescent="0.25"/>
    <row r="561" ht="24.6" customHeight="1" x14ac:dyDescent="0.25"/>
    <row r="562" ht="24.6" customHeight="1" x14ac:dyDescent="0.25"/>
    <row r="563" ht="24.6" customHeight="1" x14ac:dyDescent="0.25"/>
    <row r="564" ht="24.6" customHeight="1" x14ac:dyDescent="0.25"/>
    <row r="565" ht="24.6" customHeight="1" x14ac:dyDescent="0.25"/>
    <row r="566" ht="24.6" customHeight="1" x14ac:dyDescent="0.25"/>
    <row r="567" ht="24.6" customHeight="1" x14ac:dyDescent="0.25"/>
    <row r="568" ht="24.6" customHeight="1" x14ac:dyDescent="0.25"/>
    <row r="569" ht="24.6" customHeight="1" x14ac:dyDescent="0.25"/>
    <row r="570" ht="36" customHeight="1" x14ac:dyDescent="0.25"/>
    <row r="571" ht="24.6" customHeight="1" x14ac:dyDescent="0.25"/>
    <row r="572" ht="24.6" customHeight="1" x14ac:dyDescent="0.25"/>
    <row r="573" ht="24.6" customHeight="1" x14ac:dyDescent="0.25"/>
    <row r="574" ht="24.6" customHeight="1" x14ac:dyDescent="0.25"/>
    <row r="575" ht="24.6" customHeight="1" x14ac:dyDescent="0.25"/>
    <row r="576" ht="24.6" customHeight="1" x14ac:dyDescent="0.25"/>
    <row r="577" ht="24.6" customHeight="1" x14ac:dyDescent="0.25"/>
    <row r="578" ht="24.6" customHeight="1" x14ac:dyDescent="0.25"/>
    <row r="579" ht="24.6" customHeight="1" x14ac:dyDescent="0.25"/>
    <row r="580" ht="36" customHeight="1" x14ac:dyDescent="0.25"/>
    <row r="581" ht="24.6" customHeight="1" x14ac:dyDescent="0.25"/>
    <row r="582" ht="24.6" customHeight="1" x14ac:dyDescent="0.25"/>
    <row r="583" ht="24.6" customHeight="1" x14ac:dyDescent="0.25"/>
    <row r="584" ht="24.6" customHeight="1" x14ac:dyDescent="0.25"/>
    <row r="585" ht="24.6" customHeight="1" x14ac:dyDescent="0.25"/>
    <row r="586" ht="24.6" customHeight="1" x14ac:dyDescent="0.25"/>
    <row r="587" ht="24.6" customHeight="1" x14ac:dyDescent="0.25"/>
    <row r="588" ht="24.6" customHeight="1" x14ac:dyDescent="0.25"/>
    <row r="589" ht="24.6" customHeight="1" x14ac:dyDescent="0.25"/>
    <row r="590" ht="36" customHeight="1" x14ac:dyDescent="0.25"/>
    <row r="591" ht="24.6" customHeight="1" x14ac:dyDescent="0.25"/>
    <row r="592" ht="24.6" customHeight="1" x14ac:dyDescent="0.25"/>
    <row r="593" ht="24.6" customHeight="1" x14ac:dyDescent="0.25"/>
    <row r="594" ht="24.6" customHeight="1" x14ac:dyDescent="0.25"/>
    <row r="595" ht="24.6" customHeight="1" x14ac:dyDescent="0.25"/>
    <row r="596" ht="24.6" customHeight="1" x14ac:dyDescent="0.25"/>
    <row r="597" ht="24.6" customHeight="1" x14ac:dyDescent="0.25"/>
    <row r="598" ht="24.6" customHeight="1" x14ac:dyDescent="0.25"/>
    <row r="599" ht="24.6" customHeight="1" x14ac:dyDescent="0.25"/>
    <row r="600" ht="36" customHeight="1" x14ac:dyDescent="0.25"/>
    <row r="601" ht="24.6" customHeight="1" x14ac:dyDescent="0.25"/>
    <row r="602" ht="24.6" customHeight="1" x14ac:dyDescent="0.25"/>
    <row r="603" ht="24.6" customHeight="1" x14ac:dyDescent="0.25"/>
    <row r="604" ht="24.6" customHeight="1" x14ac:dyDescent="0.25"/>
    <row r="605" ht="24.6" customHeight="1" x14ac:dyDescent="0.25"/>
    <row r="606" ht="24.6" customHeight="1" x14ac:dyDescent="0.25"/>
    <row r="607" ht="24.6" customHeight="1" x14ac:dyDescent="0.25"/>
    <row r="608" ht="24.6" customHeight="1" x14ac:dyDescent="0.25"/>
    <row r="609" ht="24.6" customHeight="1" x14ac:dyDescent="0.25"/>
    <row r="610" ht="36" customHeight="1" x14ac:dyDescent="0.25"/>
    <row r="611" ht="24.6" customHeight="1" x14ac:dyDescent="0.25"/>
    <row r="612" ht="24.6" customHeight="1" x14ac:dyDescent="0.25"/>
    <row r="613" ht="24.6" customHeight="1" x14ac:dyDescent="0.25"/>
    <row r="614" ht="24.6" customHeight="1" x14ac:dyDescent="0.25"/>
    <row r="615" ht="24.6" customHeight="1" x14ac:dyDescent="0.25"/>
    <row r="616" ht="24.6" customHeight="1" x14ac:dyDescent="0.25"/>
    <row r="617" ht="24.6" customHeight="1" x14ac:dyDescent="0.25"/>
    <row r="618" ht="24.6" customHeight="1" x14ac:dyDescent="0.25"/>
    <row r="619" ht="24.6" customHeight="1" x14ac:dyDescent="0.25"/>
    <row r="620" ht="36" customHeight="1" x14ac:dyDescent="0.25"/>
    <row r="621" ht="24.6" customHeight="1" x14ac:dyDescent="0.25"/>
    <row r="622" ht="24.6" customHeight="1" x14ac:dyDescent="0.25"/>
    <row r="623" ht="24.6" customHeight="1" x14ac:dyDescent="0.25"/>
    <row r="624" ht="24.6" customHeight="1" x14ac:dyDescent="0.25"/>
    <row r="625" ht="24.6" customHeight="1" x14ac:dyDescent="0.25"/>
    <row r="626" ht="24.6" customHeight="1" x14ac:dyDescent="0.25"/>
    <row r="627" ht="24.6" customHeight="1" x14ac:dyDescent="0.25"/>
    <row r="628" ht="24.6" customHeight="1" x14ac:dyDescent="0.25"/>
    <row r="629" ht="24.6" customHeight="1" x14ac:dyDescent="0.25"/>
    <row r="630" ht="36" customHeight="1" x14ac:dyDescent="0.25"/>
    <row r="631" ht="24.6" customHeight="1" x14ac:dyDescent="0.25"/>
    <row r="632" ht="24.6" customHeight="1" x14ac:dyDescent="0.25"/>
    <row r="633" ht="24.6" customHeight="1" x14ac:dyDescent="0.25"/>
    <row r="634" ht="24.6" customHeight="1" x14ac:dyDescent="0.25"/>
    <row r="635" ht="24.6" customHeight="1" x14ac:dyDescent="0.25"/>
    <row r="636" ht="24.6" customHeight="1" x14ac:dyDescent="0.25"/>
    <row r="637" ht="24.6" customHeight="1" x14ac:dyDescent="0.25"/>
    <row r="638" ht="24.6" customHeight="1" x14ac:dyDescent="0.25"/>
    <row r="639" ht="24.6" customHeight="1" x14ac:dyDescent="0.25"/>
    <row r="640" ht="36" customHeight="1" x14ac:dyDescent="0.25"/>
    <row r="641" ht="24.6" customHeight="1" x14ac:dyDescent="0.25"/>
    <row r="642" ht="24.6" customHeight="1" x14ac:dyDescent="0.25"/>
    <row r="643" ht="24.6" customHeight="1" x14ac:dyDescent="0.25"/>
    <row r="644" ht="24.6" customHeight="1" x14ac:dyDescent="0.25"/>
    <row r="645" ht="24.6" customHeight="1" x14ac:dyDescent="0.25"/>
    <row r="646" ht="24.6" customHeight="1" x14ac:dyDescent="0.25"/>
    <row r="647" ht="24.6" customHeight="1" x14ac:dyDescent="0.25"/>
    <row r="648" ht="24.6" customHeight="1" x14ac:dyDescent="0.25"/>
    <row r="649" ht="24.6" customHeight="1" x14ac:dyDescent="0.25"/>
    <row r="650" ht="36" customHeight="1" x14ac:dyDescent="0.25"/>
    <row r="651" ht="24.6" customHeight="1" x14ac:dyDescent="0.25"/>
    <row r="652" ht="24.6" customHeight="1" x14ac:dyDescent="0.25"/>
    <row r="653" ht="24.6" customHeight="1" x14ac:dyDescent="0.25"/>
    <row r="654" ht="24.6" customHeight="1" x14ac:dyDescent="0.25"/>
    <row r="655" ht="24.6" customHeight="1" x14ac:dyDescent="0.25"/>
    <row r="656" ht="24.6" customHeight="1" x14ac:dyDescent="0.25"/>
    <row r="657" ht="24.6" customHeight="1" x14ac:dyDescent="0.25"/>
    <row r="658" ht="24.6" customHeight="1" x14ac:dyDescent="0.25"/>
    <row r="659" ht="24.6" customHeight="1" x14ac:dyDescent="0.25"/>
    <row r="660" ht="36" customHeight="1" x14ac:dyDescent="0.25"/>
    <row r="661" ht="24.6" customHeight="1" x14ac:dyDescent="0.25"/>
    <row r="662" ht="24.6" customHeight="1" x14ac:dyDescent="0.25"/>
    <row r="663" ht="24.6" customHeight="1" x14ac:dyDescent="0.25"/>
    <row r="664" ht="24.6" customHeight="1" x14ac:dyDescent="0.25"/>
    <row r="665" ht="24.6" customHeight="1" x14ac:dyDescent="0.25"/>
    <row r="666" ht="24.6" customHeight="1" x14ac:dyDescent="0.25"/>
    <row r="667" ht="24.6" customHeight="1" x14ac:dyDescent="0.25"/>
    <row r="668" ht="24.6" customHeight="1" x14ac:dyDescent="0.25"/>
    <row r="669" ht="24.6" customHeight="1" x14ac:dyDescent="0.25"/>
    <row r="670" ht="36" customHeight="1" x14ac:dyDescent="0.25"/>
    <row r="671" ht="24.6" customHeight="1" x14ac:dyDescent="0.25"/>
    <row r="672" ht="24.6" customHeight="1" x14ac:dyDescent="0.25"/>
    <row r="673" ht="24.6" customHeight="1" x14ac:dyDescent="0.25"/>
    <row r="674" ht="24.6" customHeight="1" x14ac:dyDescent="0.25"/>
    <row r="675" ht="24.6" customHeight="1" x14ac:dyDescent="0.25"/>
    <row r="676" ht="24.6" customHeight="1" x14ac:dyDescent="0.25"/>
    <row r="677" ht="24.6" customHeight="1" x14ac:dyDescent="0.25"/>
    <row r="678" ht="24.6" customHeight="1" x14ac:dyDescent="0.25"/>
    <row r="679" ht="24.6" customHeight="1" x14ac:dyDescent="0.25"/>
    <row r="680" ht="36" customHeight="1" x14ac:dyDescent="0.25"/>
    <row r="681" ht="24.6" customHeight="1" x14ac:dyDescent="0.25"/>
    <row r="682" ht="24.6" customHeight="1" x14ac:dyDescent="0.25"/>
    <row r="683" ht="24.6" customHeight="1" x14ac:dyDescent="0.25"/>
    <row r="684" ht="24.6" customHeight="1" x14ac:dyDescent="0.25"/>
    <row r="685" ht="24.6" customHeight="1" x14ac:dyDescent="0.25"/>
    <row r="686" ht="24.6" customHeight="1" x14ac:dyDescent="0.25"/>
    <row r="687" ht="24.6" customHeight="1" x14ac:dyDescent="0.25"/>
    <row r="688" ht="24.6" customHeight="1" x14ac:dyDescent="0.25"/>
    <row r="689" ht="24.6" customHeight="1" x14ac:dyDescent="0.25"/>
    <row r="690" ht="36" customHeight="1" x14ac:dyDescent="0.25"/>
    <row r="691" ht="24.6" customHeight="1" x14ac:dyDescent="0.25"/>
    <row r="692" ht="24.6" customHeight="1" x14ac:dyDescent="0.25"/>
    <row r="693" ht="24.6" customHeight="1" x14ac:dyDescent="0.25"/>
    <row r="694" ht="24.6" customHeight="1" x14ac:dyDescent="0.25"/>
    <row r="695" ht="24.6" customHeight="1" x14ac:dyDescent="0.25"/>
    <row r="696" ht="24.6" customHeight="1" x14ac:dyDescent="0.25"/>
    <row r="697" ht="24.6" customHeight="1" x14ac:dyDescent="0.25"/>
    <row r="698" ht="24.6" customHeight="1" x14ac:dyDescent="0.25"/>
    <row r="699" ht="24.6" customHeight="1" x14ac:dyDescent="0.25"/>
    <row r="700" ht="36" customHeight="1" x14ac:dyDescent="0.25"/>
    <row r="701" ht="24.6" customHeight="1" x14ac:dyDescent="0.25"/>
    <row r="702" ht="24.6" customHeight="1" x14ac:dyDescent="0.25"/>
    <row r="703" ht="24.6" customHeight="1" x14ac:dyDescent="0.25"/>
    <row r="704" ht="24.6" customHeight="1" x14ac:dyDescent="0.25"/>
    <row r="705" ht="24.6" customHeight="1" x14ac:dyDescent="0.25"/>
    <row r="706" ht="24.6" customHeight="1" x14ac:dyDescent="0.25"/>
    <row r="707" ht="24.6" customHeight="1" x14ac:dyDescent="0.25"/>
    <row r="708" ht="24.6" customHeight="1" x14ac:dyDescent="0.25"/>
    <row r="709" ht="24.6" customHeight="1" x14ac:dyDescent="0.25"/>
    <row r="710" ht="36" customHeight="1" x14ac:dyDescent="0.25"/>
    <row r="711" ht="24.6" customHeight="1" x14ac:dyDescent="0.25"/>
    <row r="712" ht="24.6" customHeight="1" x14ac:dyDescent="0.25"/>
    <row r="713" ht="24.6" customHeight="1" x14ac:dyDescent="0.25"/>
    <row r="714" ht="24.6" customHeight="1" x14ac:dyDescent="0.25"/>
    <row r="715" ht="24.6" customHeight="1" x14ac:dyDescent="0.25"/>
    <row r="716" ht="24.6" customHeight="1" x14ac:dyDescent="0.25"/>
    <row r="717" ht="24.6" customHeight="1" x14ac:dyDescent="0.25"/>
    <row r="718" ht="24.6" customHeight="1" x14ac:dyDescent="0.25"/>
    <row r="719" ht="24.6" customHeight="1" x14ac:dyDescent="0.25"/>
    <row r="720" ht="36" customHeight="1" x14ac:dyDescent="0.25"/>
    <row r="721" ht="24.6" customHeight="1" x14ac:dyDescent="0.25"/>
    <row r="722" ht="24.6" customHeight="1" x14ac:dyDescent="0.25"/>
    <row r="723" ht="24.6" customHeight="1" x14ac:dyDescent="0.25"/>
    <row r="724" ht="24.6" customHeight="1" x14ac:dyDescent="0.25"/>
    <row r="725" ht="24.6" customHeight="1" x14ac:dyDescent="0.25"/>
    <row r="726" ht="24.6" customHeight="1" x14ac:dyDescent="0.25"/>
    <row r="727" ht="24.6" customHeight="1" x14ac:dyDescent="0.25"/>
    <row r="728" ht="24.6" customHeight="1" x14ac:dyDescent="0.25"/>
    <row r="729" ht="24.6" customHeight="1" x14ac:dyDescent="0.25"/>
    <row r="730" ht="36" customHeight="1" x14ac:dyDescent="0.25"/>
    <row r="731" ht="24.6" customHeight="1" x14ac:dyDescent="0.25"/>
    <row r="732" ht="24.6" customHeight="1" x14ac:dyDescent="0.25"/>
    <row r="733" ht="24.6" customHeight="1" x14ac:dyDescent="0.25"/>
    <row r="734" ht="24.6" customHeight="1" x14ac:dyDescent="0.25"/>
    <row r="735" ht="24.6" customHeight="1" x14ac:dyDescent="0.25"/>
    <row r="736" ht="24.6" customHeight="1" x14ac:dyDescent="0.25"/>
    <row r="737" ht="24.6" customHeight="1" x14ac:dyDescent="0.25"/>
    <row r="738" ht="24.6" customHeight="1" x14ac:dyDescent="0.25"/>
    <row r="739" ht="24.6" customHeight="1" x14ac:dyDescent="0.25"/>
    <row r="740" ht="36" customHeight="1" x14ac:dyDescent="0.25"/>
    <row r="741" ht="24.6" customHeight="1" x14ac:dyDescent="0.25"/>
    <row r="742" ht="24.6" customHeight="1" x14ac:dyDescent="0.25"/>
    <row r="743" ht="24.6" customHeight="1" x14ac:dyDescent="0.25"/>
    <row r="744" ht="24.6" customHeight="1" x14ac:dyDescent="0.25"/>
    <row r="745" ht="24.6" customHeight="1" x14ac:dyDescent="0.25"/>
    <row r="746" ht="24.6" customHeight="1" x14ac:dyDescent="0.25"/>
    <row r="747" ht="24.6" customHeight="1" x14ac:dyDescent="0.25"/>
    <row r="748" ht="24.6" customHeight="1" x14ac:dyDescent="0.25"/>
    <row r="749" ht="24.6" customHeight="1" x14ac:dyDescent="0.25"/>
    <row r="750" ht="36" customHeight="1" x14ac:dyDescent="0.25"/>
    <row r="751" ht="24.6" customHeight="1" x14ac:dyDescent="0.25"/>
    <row r="752" ht="24.6" customHeight="1" x14ac:dyDescent="0.25"/>
    <row r="753" ht="24.6" customHeight="1" x14ac:dyDescent="0.25"/>
    <row r="754" ht="24.6" customHeight="1" x14ac:dyDescent="0.25"/>
    <row r="755" ht="24.6" customHeight="1" x14ac:dyDescent="0.25"/>
    <row r="756" ht="24.6" customHeight="1" x14ac:dyDescent="0.25"/>
    <row r="757" ht="24.6" customHeight="1" x14ac:dyDescent="0.25"/>
    <row r="758" ht="24.6" customHeight="1" x14ac:dyDescent="0.25"/>
    <row r="759" ht="24.6" customHeight="1" x14ac:dyDescent="0.25"/>
    <row r="760" ht="36" customHeight="1" x14ac:dyDescent="0.25"/>
    <row r="761" ht="24.6" customHeight="1" x14ac:dyDescent="0.25"/>
    <row r="762" ht="24.6" customHeight="1" x14ac:dyDescent="0.25"/>
    <row r="763" ht="24.6" customHeight="1" x14ac:dyDescent="0.25"/>
    <row r="764" ht="24.6" customHeight="1" x14ac:dyDescent="0.25"/>
    <row r="765" ht="24.6" customHeight="1" x14ac:dyDescent="0.25"/>
    <row r="766" ht="24.6" customHeight="1" x14ac:dyDescent="0.25"/>
    <row r="767" ht="24.6" customHeight="1" x14ac:dyDescent="0.25"/>
    <row r="768" ht="24.6" customHeight="1" x14ac:dyDescent="0.25"/>
    <row r="769" ht="24.6" customHeight="1" x14ac:dyDescent="0.25"/>
    <row r="770" ht="36" customHeight="1" x14ac:dyDescent="0.25"/>
    <row r="771" ht="24.6" customHeight="1" x14ac:dyDescent="0.25"/>
    <row r="772" ht="24.6" customHeight="1" x14ac:dyDescent="0.25"/>
    <row r="773" ht="24.6" customHeight="1" x14ac:dyDescent="0.25"/>
    <row r="774" ht="24.6" customHeight="1" x14ac:dyDescent="0.25"/>
    <row r="775" ht="24.6" customHeight="1" x14ac:dyDescent="0.25"/>
    <row r="776" ht="24.6" customHeight="1" x14ac:dyDescent="0.25"/>
    <row r="777" ht="24.6" customHeight="1" x14ac:dyDescent="0.25"/>
    <row r="778" ht="24.6" customHeight="1" x14ac:dyDescent="0.25"/>
    <row r="779" ht="24.6" customHeight="1" x14ac:dyDescent="0.25"/>
    <row r="780" ht="36" customHeight="1" x14ac:dyDescent="0.25"/>
    <row r="781" ht="24.6" customHeight="1" x14ac:dyDescent="0.25"/>
    <row r="782" ht="24.6" customHeight="1" x14ac:dyDescent="0.25"/>
    <row r="783" ht="24.6" customHeight="1" x14ac:dyDescent="0.25"/>
    <row r="784" ht="24.6" customHeight="1" x14ac:dyDescent="0.25"/>
    <row r="785" ht="24.6" customHeight="1" x14ac:dyDescent="0.25"/>
    <row r="786" ht="24.6" customHeight="1" x14ac:dyDescent="0.25"/>
    <row r="787" ht="24.6" customHeight="1" x14ac:dyDescent="0.25"/>
    <row r="788" ht="24.6" customHeight="1" x14ac:dyDescent="0.25"/>
    <row r="789" ht="24.6" customHeight="1" x14ac:dyDescent="0.25"/>
    <row r="790" ht="36" customHeight="1" x14ac:dyDescent="0.25"/>
    <row r="791" ht="24.6" customHeight="1" x14ac:dyDescent="0.25"/>
    <row r="792" ht="24.6" customHeight="1" x14ac:dyDescent="0.25"/>
    <row r="793" ht="24.6" customHeight="1" x14ac:dyDescent="0.25"/>
    <row r="794" ht="24.6" customHeight="1" x14ac:dyDescent="0.25"/>
    <row r="795" ht="24.6" customHeight="1" x14ac:dyDescent="0.25"/>
    <row r="796" ht="24.6" customHeight="1" x14ac:dyDescent="0.25"/>
    <row r="797" ht="24.6" customHeight="1" x14ac:dyDescent="0.25"/>
    <row r="798" ht="24.6" customHeight="1" x14ac:dyDescent="0.25"/>
    <row r="799" ht="24.6" customHeight="1" x14ac:dyDescent="0.25"/>
    <row r="800" ht="36" customHeight="1" x14ac:dyDescent="0.25"/>
    <row r="801" ht="24.6" customHeight="1" x14ac:dyDescent="0.25"/>
    <row r="802" ht="24.6" customHeight="1" x14ac:dyDescent="0.25"/>
    <row r="803" ht="24.6" customHeight="1" x14ac:dyDescent="0.25"/>
    <row r="804" ht="24.6" customHeight="1" x14ac:dyDescent="0.25"/>
    <row r="805" ht="24.6" customHeight="1" x14ac:dyDescent="0.25"/>
    <row r="806" ht="24.6" customHeight="1" x14ac:dyDescent="0.25"/>
    <row r="807" ht="24.6" customHeight="1" x14ac:dyDescent="0.25"/>
    <row r="808" ht="24.6" customHeight="1" x14ac:dyDescent="0.25"/>
    <row r="809" ht="24.6" customHeight="1" x14ac:dyDescent="0.25"/>
    <row r="810" ht="36" customHeight="1" x14ac:dyDescent="0.25"/>
    <row r="811" ht="24.6" customHeight="1" x14ac:dyDescent="0.25"/>
    <row r="812" ht="24.6" customHeight="1" x14ac:dyDescent="0.25"/>
    <row r="813" ht="24.6" customHeight="1" x14ac:dyDescent="0.25"/>
    <row r="814" ht="24.6" customHeight="1" x14ac:dyDescent="0.25"/>
    <row r="815" ht="24.6" customHeight="1" x14ac:dyDescent="0.25"/>
    <row r="816" ht="24.6" customHeight="1" x14ac:dyDescent="0.25"/>
    <row r="817" ht="24.6" customHeight="1" x14ac:dyDescent="0.25"/>
    <row r="818" ht="24.6" customHeight="1" x14ac:dyDescent="0.25"/>
    <row r="819" ht="24.6" customHeight="1" x14ac:dyDescent="0.25"/>
    <row r="820" ht="36" customHeight="1" x14ac:dyDescent="0.25"/>
    <row r="821" ht="24.6" customHeight="1" x14ac:dyDescent="0.25"/>
    <row r="822" ht="24.6" customHeight="1" x14ac:dyDescent="0.25"/>
    <row r="823" ht="24.6" customHeight="1" x14ac:dyDescent="0.25"/>
    <row r="824" ht="24.6" customHeight="1" x14ac:dyDescent="0.25"/>
    <row r="825" ht="24.6" customHeight="1" x14ac:dyDescent="0.25"/>
    <row r="826" ht="24.6" customHeight="1" x14ac:dyDescent="0.25"/>
    <row r="827" ht="24.6" customHeight="1" x14ac:dyDescent="0.25"/>
    <row r="828" ht="24.6" customHeight="1" x14ac:dyDescent="0.25"/>
    <row r="829" ht="24.6" customHeight="1" x14ac:dyDescent="0.25"/>
    <row r="830" ht="36" customHeight="1" x14ac:dyDescent="0.25"/>
    <row r="831" ht="24.6" customHeight="1" x14ac:dyDescent="0.25"/>
    <row r="832" ht="24.6" customHeight="1" x14ac:dyDescent="0.25"/>
    <row r="833" ht="24.6" customHeight="1" x14ac:dyDescent="0.25"/>
    <row r="834" ht="24.6" customHeight="1" x14ac:dyDescent="0.25"/>
    <row r="835" ht="24.6" customHeight="1" x14ac:dyDescent="0.25"/>
    <row r="836" ht="24.6" customHeight="1" x14ac:dyDescent="0.25"/>
    <row r="837" ht="24.6" customHeight="1" x14ac:dyDescent="0.25"/>
    <row r="838" ht="24.6" customHeight="1" x14ac:dyDescent="0.25"/>
    <row r="839" ht="24.6" customHeight="1" x14ac:dyDescent="0.25"/>
    <row r="840" ht="36" customHeight="1" x14ac:dyDescent="0.25"/>
    <row r="841" ht="24.6" customHeight="1" x14ac:dyDescent="0.25"/>
    <row r="842" ht="24.6" customHeight="1" x14ac:dyDescent="0.25"/>
    <row r="843" ht="24.6" customHeight="1" x14ac:dyDescent="0.25"/>
    <row r="844" ht="24.6" customHeight="1" x14ac:dyDescent="0.25"/>
    <row r="845" ht="24.6" customHeight="1" x14ac:dyDescent="0.25"/>
    <row r="846" ht="24.6" customHeight="1" x14ac:dyDescent="0.25"/>
    <row r="847" ht="24.6" customHeight="1" x14ac:dyDescent="0.25"/>
    <row r="848" ht="24.6" customHeight="1" x14ac:dyDescent="0.25"/>
    <row r="849" ht="24.6" customHeight="1" x14ac:dyDescent="0.25"/>
    <row r="850" ht="36" customHeight="1" x14ac:dyDescent="0.25"/>
    <row r="851" ht="24.6" customHeight="1" x14ac:dyDescent="0.25"/>
    <row r="852" ht="24.6" customHeight="1" x14ac:dyDescent="0.25"/>
    <row r="853" ht="24.6" customHeight="1" x14ac:dyDescent="0.25"/>
    <row r="854" ht="24.6" customHeight="1" x14ac:dyDescent="0.25"/>
    <row r="855" ht="24.6" customHeight="1" x14ac:dyDescent="0.25"/>
    <row r="856" ht="24.6" customHeight="1" x14ac:dyDescent="0.25"/>
    <row r="857" ht="24.6" customHeight="1" x14ac:dyDescent="0.25"/>
    <row r="858" ht="24.6" customHeight="1" x14ac:dyDescent="0.25"/>
    <row r="859" ht="24.6" customHeight="1" x14ac:dyDescent="0.25"/>
    <row r="860" ht="36" customHeight="1" x14ac:dyDescent="0.25"/>
    <row r="861" ht="24.6" customHeight="1" x14ac:dyDescent="0.25"/>
    <row r="862" ht="24.6" customHeight="1" x14ac:dyDescent="0.25"/>
    <row r="863" ht="24.6" customHeight="1" x14ac:dyDescent="0.25"/>
    <row r="864" ht="24.6" customHeight="1" x14ac:dyDescent="0.25"/>
    <row r="865" ht="24.6" customHeight="1" x14ac:dyDescent="0.25"/>
    <row r="866" ht="24.6" customHeight="1" x14ac:dyDescent="0.25"/>
    <row r="867" ht="24.6" customHeight="1" x14ac:dyDescent="0.25"/>
    <row r="868" ht="24.6" customHeight="1" x14ac:dyDescent="0.25"/>
    <row r="869" ht="24.6" customHeight="1" x14ac:dyDescent="0.25"/>
    <row r="870" ht="36" customHeight="1" x14ac:dyDescent="0.25"/>
    <row r="871" ht="24.6" customHeight="1" x14ac:dyDescent="0.25"/>
    <row r="872" ht="24.6" customHeight="1" x14ac:dyDescent="0.25"/>
    <row r="873" ht="24.6" customHeight="1" x14ac:dyDescent="0.25"/>
    <row r="874" ht="24.6" customHeight="1" x14ac:dyDescent="0.25"/>
    <row r="875" ht="24.6" customHeight="1" x14ac:dyDescent="0.25"/>
    <row r="876" ht="24.6" customHeight="1" x14ac:dyDescent="0.25"/>
    <row r="877" ht="24.6" customHeight="1" x14ac:dyDescent="0.25"/>
    <row r="878" ht="24.6" customHeight="1" x14ac:dyDescent="0.25"/>
    <row r="879" ht="24.6" customHeight="1" x14ac:dyDescent="0.25"/>
    <row r="880" ht="36" customHeight="1" x14ac:dyDescent="0.25"/>
    <row r="881" ht="24.6" customHeight="1" x14ac:dyDescent="0.25"/>
    <row r="882" ht="24.6" customHeight="1" x14ac:dyDescent="0.25"/>
    <row r="883" ht="24.6" customHeight="1" x14ac:dyDescent="0.25"/>
    <row r="884" ht="24.6" customHeight="1" x14ac:dyDescent="0.25"/>
    <row r="885" ht="24.6" customHeight="1" x14ac:dyDescent="0.25"/>
    <row r="886" ht="24.6" customHeight="1" x14ac:dyDescent="0.25"/>
    <row r="887" ht="24.6" customHeight="1" x14ac:dyDescent="0.25"/>
    <row r="888" ht="24.6" customHeight="1" x14ac:dyDescent="0.25"/>
    <row r="889" ht="24.6" customHeight="1" x14ac:dyDescent="0.25"/>
    <row r="890" ht="36" customHeight="1" x14ac:dyDescent="0.25"/>
    <row r="891" ht="24.6" customHeight="1" x14ac:dyDescent="0.25"/>
    <row r="892" ht="24.6" customHeight="1" x14ac:dyDescent="0.25"/>
    <row r="893" ht="24.6" customHeight="1" x14ac:dyDescent="0.25"/>
    <row r="894" ht="24.6" customHeight="1" x14ac:dyDescent="0.25"/>
    <row r="895" ht="24.6" customHeight="1" x14ac:dyDescent="0.25"/>
    <row r="896" ht="24.6" customHeight="1" x14ac:dyDescent="0.25"/>
    <row r="897" ht="24.6" customHeight="1" x14ac:dyDescent="0.25"/>
    <row r="898" ht="24.6" customHeight="1" x14ac:dyDescent="0.25"/>
    <row r="899" ht="24.6" customHeight="1" x14ac:dyDescent="0.25"/>
    <row r="900" ht="36" customHeight="1" x14ac:dyDescent="0.25"/>
    <row r="901" ht="24.6" customHeight="1" x14ac:dyDescent="0.25"/>
    <row r="902" ht="24.6" customHeight="1" x14ac:dyDescent="0.25"/>
    <row r="903" ht="24.6" customHeight="1" x14ac:dyDescent="0.25"/>
    <row r="904" ht="24.6" customHeight="1" x14ac:dyDescent="0.25"/>
    <row r="905" ht="24.6" customHeight="1" x14ac:dyDescent="0.25"/>
    <row r="906" ht="24.6" customHeight="1" x14ac:dyDescent="0.25"/>
    <row r="907" ht="24.6" customHeight="1" x14ac:dyDescent="0.25"/>
    <row r="908" ht="24.6" customHeight="1" x14ac:dyDescent="0.25"/>
    <row r="909" ht="24.6" customHeight="1" x14ac:dyDescent="0.25"/>
    <row r="910" ht="36" customHeight="1" x14ac:dyDescent="0.25"/>
    <row r="911" ht="24.6" customHeight="1" x14ac:dyDescent="0.25"/>
    <row r="912" ht="24.6" customHeight="1" x14ac:dyDescent="0.25"/>
    <row r="913" ht="24.6" customHeight="1" x14ac:dyDescent="0.25"/>
    <row r="914" ht="24.6" customHeight="1" x14ac:dyDescent="0.25"/>
    <row r="915" ht="24.6" customHeight="1" x14ac:dyDescent="0.25"/>
    <row r="916" ht="24.6" customHeight="1" x14ac:dyDescent="0.25"/>
    <row r="917" ht="24.6" customHeight="1" x14ac:dyDescent="0.25"/>
    <row r="918" ht="24.6" customHeight="1" x14ac:dyDescent="0.25"/>
    <row r="919" ht="24.6" customHeight="1" x14ac:dyDescent="0.25"/>
    <row r="920" ht="36" customHeight="1" x14ac:dyDescent="0.25"/>
    <row r="921" ht="24.6" customHeight="1" x14ac:dyDescent="0.25"/>
    <row r="922" ht="24.6" customHeight="1" x14ac:dyDescent="0.25"/>
    <row r="923" ht="24.6" customHeight="1" x14ac:dyDescent="0.25"/>
    <row r="924" ht="24.6" customHeight="1" x14ac:dyDescent="0.25"/>
    <row r="925" ht="24.6" customHeight="1" x14ac:dyDescent="0.25"/>
    <row r="926" ht="24.6" customHeight="1" x14ac:dyDescent="0.25"/>
    <row r="927" ht="24.6" customHeight="1" x14ac:dyDescent="0.25"/>
    <row r="928" ht="24.6" customHeight="1" x14ac:dyDescent="0.25"/>
    <row r="929" ht="24.6" customHeight="1" x14ac:dyDescent="0.25"/>
    <row r="930" ht="36" customHeight="1" x14ac:dyDescent="0.25"/>
    <row r="931" ht="24.6" customHeight="1" x14ac:dyDescent="0.25"/>
    <row r="932" ht="24.6" customHeight="1" x14ac:dyDescent="0.25"/>
    <row r="933" ht="24.6" customHeight="1" x14ac:dyDescent="0.25"/>
    <row r="934" ht="24.6" customHeight="1" x14ac:dyDescent="0.25"/>
    <row r="935" ht="24.6" customHeight="1" x14ac:dyDescent="0.25"/>
    <row r="936" ht="24.6" customHeight="1" x14ac:dyDescent="0.25"/>
    <row r="937" ht="24.6" customHeight="1" x14ac:dyDescent="0.25"/>
    <row r="938" ht="24.6" customHeight="1" x14ac:dyDescent="0.25"/>
    <row r="939" ht="24.6" customHeight="1" x14ac:dyDescent="0.25"/>
    <row r="940" ht="36" customHeight="1" x14ac:dyDescent="0.25"/>
    <row r="941" ht="24.6" customHeight="1" x14ac:dyDescent="0.25"/>
    <row r="942" ht="24.6" customHeight="1" x14ac:dyDescent="0.25"/>
    <row r="943" ht="24.6" customHeight="1" x14ac:dyDescent="0.25"/>
    <row r="944" ht="24.6" customHeight="1" x14ac:dyDescent="0.25"/>
    <row r="945" ht="24.6" customHeight="1" x14ac:dyDescent="0.25"/>
    <row r="946" ht="24.6" customHeight="1" x14ac:dyDescent="0.25"/>
    <row r="947" ht="24.6" customHeight="1" x14ac:dyDescent="0.25"/>
    <row r="948" ht="24.6" customHeight="1" x14ac:dyDescent="0.25"/>
    <row r="949" ht="24.6" customHeight="1" x14ac:dyDescent="0.25"/>
    <row r="950" ht="36" customHeight="1" x14ac:dyDescent="0.25"/>
    <row r="951" ht="24.6" customHeight="1" x14ac:dyDescent="0.25"/>
    <row r="952" ht="24.6" customHeight="1" x14ac:dyDescent="0.25"/>
    <row r="953" ht="24.6" customHeight="1" x14ac:dyDescent="0.25"/>
    <row r="954" ht="24.6" customHeight="1" x14ac:dyDescent="0.25"/>
    <row r="955" ht="24.6" customHeight="1" x14ac:dyDescent="0.25"/>
    <row r="956" ht="24.6" customHeight="1" x14ac:dyDescent="0.25"/>
    <row r="957" ht="24.6" customHeight="1" x14ac:dyDescent="0.25"/>
    <row r="958" ht="24.6" customHeight="1" x14ac:dyDescent="0.25"/>
    <row r="959" ht="24.6" customHeight="1" x14ac:dyDescent="0.25"/>
    <row r="960" ht="36" customHeight="1" x14ac:dyDescent="0.25"/>
    <row r="961" ht="24.6" customHeight="1" x14ac:dyDescent="0.25"/>
    <row r="962" ht="24.6" customHeight="1" x14ac:dyDescent="0.25"/>
    <row r="963" ht="24.6" customHeight="1" x14ac:dyDescent="0.25"/>
    <row r="964" ht="24.6" customHeight="1" x14ac:dyDescent="0.25"/>
    <row r="965" ht="24.6" customHeight="1" x14ac:dyDescent="0.25"/>
    <row r="966" ht="24.6" customHeight="1" x14ac:dyDescent="0.25"/>
    <row r="967" ht="24.6" customHeight="1" x14ac:dyDescent="0.25"/>
    <row r="968" ht="24.6" customHeight="1" x14ac:dyDescent="0.25"/>
    <row r="969" ht="24.6" customHeight="1" x14ac:dyDescent="0.25"/>
    <row r="970" ht="36" customHeight="1" x14ac:dyDescent="0.25"/>
    <row r="971" ht="24.6" customHeight="1" x14ac:dyDescent="0.25"/>
    <row r="972" ht="24.6" customHeight="1" x14ac:dyDescent="0.25"/>
    <row r="973" ht="24.6" customHeight="1" x14ac:dyDescent="0.25"/>
    <row r="974" ht="24.6" customHeight="1" x14ac:dyDescent="0.25"/>
    <row r="975" ht="24.6" customHeight="1" x14ac:dyDescent="0.25"/>
    <row r="976" ht="24.6" customHeight="1" x14ac:dyDescent="0.25"/>
    <row r="977" ht="24.6" customHeight="1" x14ac:dyDescent="0.25"/>
    <row r="978" ht="24.6" customHeight="1" x14ac:dyDescent="0.25"/>
    <row r="979" ht="24.6" customHeight="1" x14ac:dyDescent="0.25"/>
    <row r="980" ht="36" customHeight="1" x14ac:dyDescent="0.25"/>
    <row r="981" ht="24.6" customHeight="1" x14ac:dyDescent="0.25"/>
    <row r="982" ht="24.6" customHeight="1" x14ac:dyDescent="0.25"/>
    <row r="983" ht="24.6" customHeight="1" x14ac:dyDescent="0.25"/>
    <row r="984" ht="24.6" customHeight="1" x14ac:dyDescent="0.25"/>
    <row r="985" ht="24.6" customHeight="1" x14ac:dyDescent="0.25"/>
    <row r="986" ht="24.6" customHeight="1" x14ac:dyDescent="0.25"/>
    <row r="987" ht="24.6" customHeight="1" x14ac:dyDescent="0.25"/>
    <row r="988" ht="24.6" customHeight="1" x14ac:dyDescent="0.25"/>
    <row r="989" ht="24.6" customHeight="1" x14ac:dyDescent="0.25"/>
    <row r="990" ht="36" customHeight="1" x14ac:dyDescent="0.25"/>
    <row r="991" ht="24.6" customHeight="1" x14ac:dyDescent="0.25"/>
    <row r="992" ht="24.6" customHeight="1" x14ac:dyDescent="0.25"/>
    <row r="993" ht="24.6" customHeight="1" x14ac:dyDescent="0.25"/>
    <row r="994" ht="24.6" customHeight="1" x14ac:dyDescent="0.25"/>
    <row r="995" ht="24.6" customHeight="1" x14ac:dyDescent="0.25"/>
    <row r="996" ht="24.6" customHeight="1" x14ac:dyDescent="0.25"/>
    <row r="997" ht="24.6" customHeight="1" x14ac:dyDescent="0.25"/>
    <row r="998" ht="24.6" customHeight="1" x14ac:dyDescent="0.25"/>
    <row r="999" ht="24.6" customHeight="1" x14ac:dyDescent="0.25"/>
    <row r="1000" ht="36" customHeight="1" x14ac:dyDescent="0.25"/>
    <row r="1001" ht="24.6" customHeight="1" x14ac:dyDescent="0.25"/>
    <row r="1002" ht="24.6" customHeight="1" x14ac:dyDescent="0.25"/>
    <row r="1003" ht="24.6" customHeight="1" x14ac:dyDescent="0.25"/>
    <row r="1004" ht="24.6" customHeight="1" x14ac:dyDescent="0.25"/>
    <row r="1005" ht="24.6" customHeight="1" x14ac:dyDescent="0.25"/>
    <row r="1006" ht="24.6" customHeight="1" x14ac:dyDescent="0.25"/>
    <row r="1007" ht="24.6" customHeight="1" x14ac:dyDescent="0.25"/>
    <row r="1008" ht="24.6" customHeight="1" x14ac:dyDescent="0.25"/>
    <row r="1009" ht="24.6" customHeight="1" x14ac:dyDescent="0.25"/>
    <row r="1010" ht="36" customHeight="1" x14ac:dyDescent="0.25"/>
    <row r="1011" ht="24.6" customHeight="1" x14ac:dyDescent="0.25"/>
    <row r="1012" ht="24.6" customHeight="1" x14ac:dyDescent="0.25"/>
    <row r="1013" ht="24.6" customHeight="1" x14ac:dyDescent="0.25"/>
    <row r="1014" ht="24.6" customHeight="1" x14ac:dyDescent="0.25"/>
    <row r="1015" ht="24.6" customHeight="1" x14ac:dyDescent="0.25"/>
    <row r="1016" ht="24.6" customHeight="1" x14ac:dyDescent="0.25"/>
    <row r="1017" ht="24.6" customHeight="1" x14ac:dyDescent="0.25"/>
    <row r="1018" ht="24.6" customHeight="1" x14ac:dyDescent="0.25"/>
    <row r="1019" ht="24.6" customHeight="1" x14ac:dyDescent="0.25"/>
    <row r="1020" ht="36" customHeight="1" x14ac:dyDescent="0.25"/>
    <row r="1021" ht="24.6" customHeight="1" x14ac:dyDescent="0.25"/>
    <row r="1022" ht="24.6" customHeight="1" x14ac:dyDescent="0.25"/>
    <row r="1023" ht="24.6" customHeight="1" x14ac:dyDescent="0.25"/>
    <row r="1024" ht="24.6" customHeight="1" x14ac:dyDescent="0.25"/>
    <row r="1025" ht="24.6" customHeight="1" x14ac:dyDescent="0.25"/>
    <row r="1026" ht="24.6" customHeight="1" x14ac:dyDescent="0.25"/>
    <row r="1027" ht="24.6" customHeight="1" x14ac:dyDescent="0.25"/>
    <row r="1028" ht="24.6" customHeight="1" x14ac:dyDescent="0.25"/>
    <row r="1029" ht="24.6" customHeight="1" x14ac:dyDescent="0.25"/>
    <row r="1030" ht="36" customHeight="1" x14ac:dyDescent="0.25"/>
    <row r="1031" ht="24.6" customHeight="1" x14ac:dyDescent="0.25"/>
    <row r="1032" ht="24.6" customHeight="1" x14ac:dyDescent="0.25"/>
    <row r="1033" ht="24.6" customHeight="1" x14ac:dyDescent="0.25"/>
    <row r="1034" ht="24.6" customHeight="1" x14ac:dyDescent="0.25"/>
    <row r="1035" ht="24.6" customHeight="1" x14ac:dyDescent="0.25"/>
    <row r="1036" ht="24.6" customHeight="1" x14ac:dyDescent="0.25"/>
    <row r="1037" ht="24.6" customHeight="1" x14ac:dyDescent="0.25"/>
    <row r="1038" ht="24.6" customHeight="1" x14ac:dyDescent="0.25"/>
    <row r="1039" ht="24.6" customHeight="1" x14ac:dyDescent="0.25"/>
    <row r="1040" ht="36" customHeight="1" x14ac:dyDescent="0.25"/>
    <row r="1041" ht="24.6" customHeight="1" x14ac:dyDescent="0.25"/>
    <row r="1042" ht="24.6" customHeight="1" x14ac:dyDescent="0.25"/>
    <row r="1043" ht="24.6" customHeight="1" x14ac:dyDescent="0.25"/>
    <row r="1044" ht="24.6" customHeight="1" x14ac:dyDescent="0.25"/>
    <row r="1045" ht="24.6" customHeight="1" x14ac:dyDescent="0.25"/>
    <row r="1046" ht="24.6" customHeight="1" x14ac:dyDescent="0.25"/>
    <row r="1047" ht="24.6" customHeight="1" x14ac:dyDescent="0.25"/>
    <row r="1048" ht="24.6" customHeight="1" x14ac:dyDescent="0.25"/>
    <row r="1049" ht="24.6" customHeight="1" x14ac:dyDescent="0.25"/>
    <row r="1050" ht="36" customHeight="1" x14ac:dyDescent="0.25"/>
    <row r="1051" ht="24.6" customHeight="1" x14ac:dyDescent="0.25"/>
    <row r="1052" ht="24.6" customHeight="1" x14ac:dyDescent="0.25"/>
    <row r="1053" ht="24.6" customHeight="1" x14ac:dyDescent="0.25"/>
    <row r="1054" ht="24.6" customHeight="1" x14ac:dyDescent="0.25"/>
    <row r="1055" ht="24.6" customHeight="1" x14ac:dyDescent="0.25"/>
    <row r="1056" ht="24.6" customHeight="1" x14ac:dyDescent="0.25"/>
    <row r="1057" ht="24.6" customHeight="1" x14ac:dyDescent="0.25"/>
    <row r="1058" ht="24.6" customHeight="1" x14ac:dyDescent="0.25"/>
    <row r="1059" ht="24.6" customHeight="1" x14ac:dyDescent="0.25"/>
    <row r="1060" ht="36" customHeight="1" x14ac:dyDescent="0.25"/>
    <row r="1061" ht="24.6" customHeight="1" x14ac:dyDescent="0.25"/>
    <row r="1062" ht="24.6" customHeight="1" x14ac:dyDescent="0.25"/>
    <row r="1063" ht="24.6" customHeight="1" x14ac:dyDescent="0.25"/>
    <row r="1064" ht="24.6" customHeight="1" x14ac:dyDescent="0.25"/>
    <row r="1065" ht="24.6" customHeight="1" x14ac:dyDescent="0.25"/>
    <row r="1066" ht="24.6" customHeight="1" x14ac:dyDescent="0.25"/>
    <row r="1067" ht="24.6" customHeight="1" x14ac:dyDescent="0.25"/>
    <row r="1068" ht="24.6" customHeight="1" x14ac:dyDescent="0.25"/>
    <row r="1069" ht="24.6" customHeight="1" x14ac:dyDescent="0.25"/>
    <row r="1070" ht="36" customHeight="1" x14ac:dyDescent="0.25"/>
    <row r="1071" ht="24.6" customHeight="1" x14ac:dyDescent="0.25"/>
    <row r="1072" ht="24.6" customHeight="1" x14ac:dyDescent="0.25"/>
    <row r="1073" ht="24.6" customHeight="1" x14ac:dyDescent="0.25"/>
    <row r="1074" ht="24.6" customHeight="1" x14ac:dyDescent="0.25"/>
    <row r="1075" ht="24.6" customHeight="1" x14ac:dyDescent="0.25"/>
    <row r="1076" ht="24.6" customHeight="1" x14ac:dyDescent="0.25"/>
    <row r="1077" ht="24.6" customHeight="1" x14ac:dyDescent="0.25"/>
    <row r="1078" ht="24.6" customHeight="1" x14ac:dyDescent="0.25"/>
    <row r="1079" ht="24.6" customHeight="1" x14ac:dyDescent="0.25"/>
    <row r="1080" ht="36" customHeight="1" x14ac:dyDescent="0.25"/>
    <row r="1081" ht="24.6" customHeight="1" x14ac:dyDescent="0.25"/>
    <row r="1082" ht="24.6" customHeight="1" x14ac:dyDescent="0.25"/>
    <row r="1083" ht="24.6" customHeight="1" x14ac:dyDescent="0.25"/>
    <row r="1084" ht="24.6" customHeight="1" x14ac:dyDescent="0.25"/>
    <row r="1085" ht="24.6" customHeight="1" x14ac:dyDescent="0.25"/>
    <row r="1086" ht="24.6" customHeight="1" x14ac:dyDescent="0.25"/>
    <row r="1087" ht="24.6" customHeight="1" x14ac:dyDescent="0.25"/>
    <row r="1088" ht="24.6" customHeight="1" x14ac:dyDescent="0.25"/>
    <row r="1089" ht="24.6" customHeight="1" x14ac:dyDescent="0.25"/>
    <row r="1090" ht="36" customHeight="1" x14ac:dyDescent="0.25"/>
    <row r="1091" ht="24.6" customHeight="1" x14ac:dyDescent="0.25"/>
    <row r="1092" ht="24.6" customHeight="1" x14ac:dyDescent="0.25"/>
    <row r="1093" ht="24.6" customHeight="1" x14ac:dyDescent="0.25"/>
    <row r="1094" ht="24.6" customHeight="1" x14ac:dyDescent="0.25"/>
    <row r="1095" ht="24.6" customHeight="1" x14ac:dyDescent="0.25"/>
    <row r="1096" ht="24.6" customHeight="1" x14ac:dyDescent="0.25"/>
    <row r="1097" ht="24.6" customHeight="1" x14ac:dyDescent="0.25"/>
    <row r="1098" ht="24.6" customHeight="1" x14ac:dyDescent="0.25"/>
    <row r="1099" ht="24.6" customHeight="1" x14ac:dyDescent="0.25"/>
    <row r="1100" ht="36" customHeight="1" x14ac:dyDescent="0.25"/>
    <row r="1101" ht="24.6" customHeight="1" x14ac:dyDescent="0.25"/>
    <row r="1102" ht="24.6" customHeight="1" x14ac:dyDescent="0.25"/>
    <row r="1103" ht="24.6" customHeight="1" x14ac:dyDescent="0.25"/>
    <row r="1104" ht="24.6" customHeight="1" x14ac:dyDescent="0.25"/>
    <row r="1105" ht="24.6" customHeight="1" x14ac:dyDescent="0.25"/>
    <row r="1106" ht="24.6" customHeight="1" x14ac:dyDescent="0.25"/>
    <row r="1107" ht="24.6" customHeight="1" x14ac:dyDescent="0.25"/>
    <row r="1108" ht="24.6" customHeight="1" x14ac:dyDescent="0.25"/>
    <row r="1109" ht="24.6" customHeight="1" x14ac:dyDescent="0.25"/>
    <row r="1110" ht="36" customHeight="1" x14ac:dyDescent="0.25"/>
    <row r="1111" ht="24.6" customHeight="1" x14ac:dyDescent="0.25"/>
    <row r="1112" ht="24.6" customHeight="1" x14ac:dyDescent="0.25"/>
    <row r="1113" ht="24.6" customHeight="1" x14ac:dyDescent="0.25"/>
    <row r="1114" ht="24.6" customHeight="1" x14ac:dyDescent="0.25"/>
    <row r="1115" ht="24.6" customHeight="1" x14ac:dyDescent="0.25"/>
    <row r="1116" ht="24.6" customHeight="1" x14ac:dyDescent="0.25"/>
    <row r="1117" ht="24.6" customHeight="1" x14ac:dyDescent="0.25"/>
    <row r="1118" ht="24.6" customHeight="1" x14ac:dyDescent="0.25"/>
    <row r="1119" ht="24.6" customHeight="1" x14ac:dyDescent="0.25"/>
    <row r="1120" ht="36" customHeight="1" x14ac:dyDescent="0.25"/>
    <row r="1121" ht="24.6" customHeight="1" x14ac:dyDescent="0.25"/>
    <row r="1122" ht="24.6" customHeight="1" x14ac:dyDescent="0.25"/>
    <row r="1123" ht="24.6" customHeight="1" x14ac:dyDescent="0.25"/>
    <row r="1124" ht="24.6" customHeight="1" x14ac:dyDescent="0.25"/>
    <row r="1125" ht="24.6" customHeight="1" x14ac:dyDescent="0.25"/>
    <row r="1126" ht="24.6" customHeight="1" x14ac:dyDescent="0.25"/>
    <row r="1127" ht="24.6" customHeight="1" x14ac:dyDescent="0.25"/>
    <row r="1128" ht="24.6" customHeight="1" x14ac:dyDescent="0.25"/>
    <row r="1129" ht="24.6" customHeight="1" x14ac:dyDescent="0.25"/>
    <row r="1130" ht="36" customHeight="1" x14ac:dyDescent="0.25"/>
    <row r="1131" ht="24.6" customHeight="1" x14ac:dyDescent="0.25"/>
    <row r="1132" ht="24.6" customHeight="1" x14ac:dyDescent="0.25"/>
    <row r="1133" ht="24.6" customHeight="1" x14ac:dyDescent="0.25"/>
    <row r="1134" ht="24.6" customHeight="1" x14ac:dyDescent="0.25"/>
    <row r="1135" ht="24.6" customHeight="1" x14ac:dyDescent="0.25"/>
    <row r="1136" ht="24.6" customHeight="1" x14ac:dyDescent="0.25"/>
    <row r="1137" ht="24.6" customHeight="1" x14ac:dyDescent="0.25"/>
    <row r="1138" ht="24.6" customHeight="1" x14ac:dyDescent="0.25"/>
    <row r="1139" ht="24.6" customHeight="1" x14ac:dyDescent="0.25"/>
    <row r="1140" ht="36" customHeight="1" x14ac:dyDescent="0.25"/>
    <row r="1141" ht="24.6" customHeight="1" x14ac:dyDescent="0.25"/>
    <row r="1142" ht="24.6" customHeight="1" x14ac:dyDescent="0.25"/>
    <row r="1143" ht="24.6" customHeight="1" x14ac:dyDescent="0.25"/>
    <row r="1144" ht="24.6" customHeight="1" x14ac:dyDescent="0.25"/>
    <row r="1145" ht="24.6" customHeight="1" x14ac:dyDescent="0.25"/>
    <row r="1146" ht="24.6" customHeight="1" x14ac:dyDescent="0.25"/>
    <row r="1147" ht="24.6" customHeight="1" x14ac:dyDescent="0.25"/>
    <row r="1148" ht="24.6" customHeight="1" x14ac:dyDescent="0.25"/>
    <row r="1149" ht="24.6" customHeight="1" x14ac:dyDescent="0.25"/>
    <row r="1150" ht="36" customHeight="1" x14ac:dyDescent="0.25"/>
    <row r="1151" ht="24.6" customHeight="1" x14ac:dyDescent="0.25"/>
    <row r="1152" ht="24.6" customHeight="1" x14ac:dyDescent="0.25"/>
    <row r="1153" ht="24.6" customHeight="1" x14ac:dyDescent="0.25"/>
    <row r="1154" ht="24.6" customHeight="1" x14ac:dyDescent="0.25"/>
    <row r="1155" ht="24.6" customHeight="1" x14ac:dyDescent="0.25"/>
    <row r="1156" ht="24.6" customHeight="1" x14ac:dyDescent="0.25"/>
    <row r="1157" ht="24.6" customHeight="1" x14ac:dyDescent="0.25"/>
    <row r="1158" ht="24.6" customHeight="1" x14ac:dyDescent="0.25"/>
    <row r="1159" ht="24.6" customHeight="1" x14ac:dyDescent="0.25"/>
    <row r="1160" ht="36" customHeight="1" x14ac:dyDescent="0.25"/>
    <row r="1161" ht="24.6" customHeight="1" x14ac:dyDescent="0.25"/>
    <row r="1162" ht="24.6" customHeight="1" x14ac:dyDescent="0.25"/>
    <row r="1163" ht="24.6" customHeight="1" x14ac:dyDescent="0.25"/>
    <row r="1164" ht="24.6" customHeight="1" x14ac:dyDescent="0.25"/>
    <row r="1165" ht="24.6" customHeight="1" x14ac:dyDescent="0.25"/>
    <row r="1166" ht="24.6" customHeight="1" x14ac:dyDescent="0.25"/>
    <row r="1167" ht="24.6" customHeight="1" x14ac:dyDescent="0.25"/>
    <row r="1168" ht="24.6" customHeight="1" x14ac:dyDescent="0.25"/>
    <row r="1169" ht="24.6" customHeight="1" x14ac:dyDescent="0.25"/>
    <row r="1170" ht="36" customHeight="1" x14ac:dyDescent="0.25"/>
    <row r="1171" ht="24.6" customHeight="1" x14ac:dyDescent="0.25"/>
    <row r="1172" ht="24.6" customHeight="1" x14ac:dyDescent="0.25"/>
    <row r="1173" ht="24.6" customHeight="1" x14ac:dyDescent="0.25"/>
    <row r="1174" ht="24.6" customHeight="1" x14ac:dyDescent="0.25"/>
    <row r="1175" ht="24.6" customHeight="1" x14ac:dyDescent="0.25"/>
    <row r="1176" ht="24.6" customHeight="1" x14ac:dyDescent="0.25"/>
    <row r="1177" ht="24.6" customHeight="1" x14ac:dyDescent="0.25"/>
    <row r="1178" ht="24.6" customHeight="1" x14ac:dyDescent="0.25"/>
    <row r="1179" ht="24.6" customHeight="1" x14ac:dyDescent="0.25"/>
    <row r="1180" ht="36" customHeight="1" x14ac:dyDescent="0.25"/>
    <row r="1181" ht="24.6" customHeight="1" x14ac:dyDescent="0.25"/>
    <row r="1182" ht="24.6" customHeight="1" x14ac:dyDescent="0.25"/>
    <row r="1183" ht="24.6" customHeight="1" x14ac:dyDescent="0.25"/>
    <row r="1184" ht="24.6" customHeight="1" x14ac:dyDescent="0.25"/>
    <row r="1185" ht="24.6" customHeight="1" x14ac:dyDescent="0.25"/>
    <row r="1186" ht="24.6" customHeight="1" x14ac:dyDescent="0.25"/>
    <row r="1187" ht="24.6" customHeight="1" x14ac:dyDescent="0.25"/>
    <row r="1188" ht="24.6" customHeight="1" x14ac:dyDescent="0.25"/>
    <row r="1189" ht="24.6" customHeight="1" x14ac:dyDescent="0.25"/>
    <row r="1190" ht="36" customHeight="1" x14ac:dyDescent="0.25"/>
    <row r="1191" ht="24.6" customHeight="1" x14ac:dyDescent="0.25"/>
    <row r="1192" ht="24.6" customHeight="1" x14ac:dyDescent="0.25"/>
    <row r="1193" ht="24.6" customHeight="1" x14ac:dyDescent="0.25"/>
    <row r="1194" ht="24.6" customHeight="1" x14ac:dyDescent="0.25"/>
    <row r="1195" ht="24.6" customHeight="1" x14ac:dyDescent="0.25"/>
    <row r="1196" ht="24.6" customHeight="1" x14ac:dyDescent="0.25"/>
    <row r="1197" ht="24.6" customHeight="1" x14ac:dyDescent="0.25"/>
    <row r="1198" ht="24.6" customHeight="1" x14ac:dyDescent="0.25"/>
    <row r="1199" ht="24.6" customHeight="1" x14ac:dyDescent="0.25"/>
    <row r="1200" ht="36" customHeight="1" x14ac:dyDescent="0.25"/>
    <row r="1201" ht="24.6" customHeight="1" x14ac:dyDescent="0.25"/>
    <row r="1202" ht="24.6" customHeight="1" x14ac:dyDescent="0.25"/>
    <row r="1203" ht="24.6" customHeight="1" x14ac:dyDescent="0.25"/>
    <row r="1204" ht="24.6" customHeight="1" x14ac:dyDescent="0.25"/>
    <row r="1205" ht="24.6" customHeight="1" x14ac:dyDescent="0.25"/>
    <row r="1206" ht="24.6" customHeight="1" x14ac:dyDescent="0.25"/>
    <row r="1207" ht="24.6" customHeight="1" x14ac:dyDescent="0.25"/>
    <row r="1208" ht="24.6" customHeight="1" x14ac:dyDescent="0.25"/>
    <row r="1209" ht="24.6" customHeight="1" x14ac:dyDescent="0.25"/>
    <row r="1210" ht="36" customHeight="1" x14ac:dyDescent="0.25"/>
    <row r="1211" ht="24.6" customHeight="1" x14ac:dyDescent="0.25"/>
    <row r="1212" ht="24.6" customHeight="1" x14ac:dyDescent="0.25"/>
    <row r="1213" ht="24.6" customHeight="1" x14ac:dyDescent="0.25"/>
    <row r="1214" ht="24.6" customHeight="1" x14ac:dyDescent="0.25"/>
    <row r="1215" ht="24.6" customHeight="1" x14ac:dyDescent="0.25"/>
    <row r="1216" ht="24.6" customHeight="1" x14ac:dyDescent="0.25"/>
    <row r="1217" ht="24.6" customHeight="1" x14ac:dyDescent="0.25"/>
    <row r="1218" ht="24.6" customHeight="1" x14ac:dyDescent="0.25"/>
    <row r="1219" ht="24.6" customHeight="1" x14ac:dyDescent="0.25"/>
    <row r="1220" ht="36" customHeight="1" x14ac:dyDescent="0.25"/>
    <row r="1221" ht="24.6" customHeight="1" x14ac:dyDescent="0.25"/>
    <row r="1222" ht="24.6" customHeight="1" x14ac:dyDescent="0.25"/>
    <row r="1223" ht="24.6" customHeight="1" x14ac:dyDescent="0.25"/>
    <row r="1224" ht="24.6" customHeight="1" x14ac:dyDescent="0.25"/>
    <row r="1225" ht="24.6" customHeight="1" x14ac:dyDescent="0.25"/>
    <row r="1226" ht="24.6" customHeight="1" x14ac:dyDescent="0.25"/>
    <row r="1227" ht="24.6" customHeight="1" x14ac:dyDescent="0.25"/>
    <row r="1228" ht="24.6" customHeight="1" x14ac:dyDescent="0.25"/>
    <row r="1229" ht="24.6" customHeight="1" x14ac:dyDescent="0.25"/>
    <row r="1230" ht="36" customHeight="1" x14ac:dyDescent="0.25"/>
    <row r="1231" ht="24.6" customHeight="1" x14ac:dyDescent="0.25"/>
    <row r="1232" ht="24.6" customHeight="1" x14ac:dyDescent="0.25"/>
    <row r="1233" ht="24.6" customHeight="1" x14ac:dyDescent="0.25"/>
    <row r="1234" ht="24.6" customHeight="1" x14ac:dyDescent="0.25"/>
    <row r="1235" ht="24.6" customHeight="1" x14ac:dyDescent="0.25"/>
    <row r="1236" ht="24.6" customHeight="1" x14ac:dyDescent="0.25"/>
    <row r="1237" ht="24.6" customHeight="1" x14ac:dyDescent="0.25"/>
    <row r="1238" ht="24.6" customHeight="1" x14ac:dyDescent="0.25"/>
    <row r="1239" ht="24.6" customHeight="1" x14ac:dyDescent="0.25"/>
    <row r="1240" ht="36" customHeight="1" x14ac:dyDescent="0.25"/>
    <row r="1241" ht="24.6" customHeight="1" x14ac:dyDescent="0.25"/>
    <row r="1242" ht="24.6" customHeight="1" x14ac:dyDescent="0.25"/>
    <row r="1243" ht="24.6" customHeight="1" x14ac:dyDescent="0.25"/>
    <row r="1244" ht="24.6" customHeight="1" x14ac:dyDescent="0.25"/>
    <row r="1245" ht="24.6" customHeight="1" x14ac:dyDescent="0.25"/>
    <row r="1246" ht="24.6" customHeight="1" x14ac:dyDescent="0.25"/>
    <row r="1247" ht="24.6" customHeight="1" x14ac:dyDescent="0.25"/>
    <row r="1248" ht="24.6" customHeight="1" x14ac:dyDescent="0.25"/>
    <row r="1249" ht="24.6" customHeight="1" x14ac:dyDescent="0.25"/>
    <row r="1250" ht="36" customHeight="1" x14ac:dyDescent="0.25"/>
    <row r="1251" ht="24.6" customHeight="1" x14ac:dyDescent="0.25"/>
    <row r="1252" ht="24.6" customHeight="1" x14ac:dyDescent="0.25"/>
    <row r="1253" ht="24.6" customHeight="1" x14ac:dyDescent="0.25"/>
    <row r="1254" ht="24.6" customHeight="1" x14ac:dyDescent="0.25"/>
    <row r="1255" ht="24.6" customHeight="1" x14ac:dyDescent="0.25"/>
    <row r="1256" ht="24.6" customHeight="1" x14ac:dyDescent="0.25"/>
    <row r="1257" ht="24.6" customHeight="1" x14ac:dyDescent="0.25"/>
    <row r="1258" ht="24.6" customHeight="1" x14ac:dyDescent="0.25"/>
    <row r="1259" ht="24.6" customHeight="1" x14ac:dyDescent="0.25"/>
    <row r="1260" ht="36" customHeight="1" x14ac:dyDescent="0.25"/>
    <row r="1261" ht="24.6" customHeight="1" x14ac:dyDescent="0.25"/>
    <row r="1262" ht="24.6" customHeight="1" x14ac:dyDescent="0.25"/>
    <row r="1263" ht="24.6" customHeight="1" x14ac:dyDescent="0.25"/>
    <row r="1264" ht="24.6" customHeight="1" x14ac:dyDescent="0.25"/>
    <row r="1265" ht="24.6" customHeight="1" x14ac:dyDescent="0.25"/>
    <row r="1266" ht="24.6" customHeight="1" x14ac:dyDescent="0.25"/>
    <row r="1267" ht="24.6" customHeight="1" x14ac:dyDescent="0.25"/>
    <row r="1268" ht="24.6" customHeight="1" x14ac:dyDescent="0.25"/>
    <row r="1269" ht="24.6" customHeight="1" x14ac:dyDescent="0.25"/>
    <row r="1270" ht="36" customHeight="1" x14ac:dyDescent="0.25"/>
    <row r="1271" ht="24.6" customHeight="1" x14ac:dyDescent="0.25"/>
    <row r="1272" ht="24.6" customHeight="1" x14ac:dyDescent="0.25"/>
    <row r="1273" ht="24.6" customHeight="1" x14ac:dyDescent="0.25"/>
    <row r="1274" ht="24.6" customHeight="1" x14ac:dyDescent="0.25"/>
    <row r="1275" ht="24.6" customHeight="1" x14ac:dyDescent="0.25"/>
    <row r="1276" ht="24.6" customHeight="1" x14ac:dyDescent="0.25"/>
    <row r="1277" ht="24.6" customHeight="1" x14ac:dyDescent="0.25"/>
    <row r="1278" ht="24.6" customHeight="1" x14ac:dyDescent="0.25"/>
    <row r="1279" ht="24.6" customHeight="1" x14ac:dyDescent="0.25"/>
    <row r="1280" ht="36" customHeight="1" x14ac:dyDescent="0.25"/>
    <row r="1281" ht="24.6" customHeight="1" x14ac:dyDescent="0.25"/>
    <row r="1282" ht="24.6" customHeight="1" x14ac:dyDescent="0.25"/>
    <row r="1283" ht="24.6" customHeight="1" x14ac:dyDescent="0.25"/>
    <row r="1284" ht="24.6" customHeight="1" x14ac:dyDescent="0.25"/>
    <row r="1285" ht="24.6" customHeight="1" x14ac:dyDescent="0.25"/>
    <row r="1286" ht="24.6" customHeight="1" x14ac:dyDescent="0.25"/>
    <row r="1287" ht="24.6" customHeight="1" x14ac:dyDescent="0.25"/>
    <row r="1288" ht="24.6" customHeight="1" x14ac:dyDescent="0.25"/>
    <row r="1289" ht="24.6" customHeight="1" x14ac:dyDescent="0.25"/>
    <row r="1290" ht="36" customHeight="1" x14ac:dyDescent="0.25"/>
    <row r="1291" ht="24.6" customHeight="1" x14ac:dyDescent="0.25"/>
    <row r="1292" ht="24.6" customHeight="1" x14ac:dyDescent="0.25"/>
    <row r="1293" ht="24.6" customHeight="1" x14ac:dyDescent="0.25"/>
    <row r="1294" ht="24.6" customHeight="1" x14ac:dyDescent="0.25"/>
    <row r="1295" ht="24.6" customHeight="1" x14ac:dyDescent="0.25"/>
    <row r="1296" ht="24.6" customHeight="1" x14ac:dyDescent="0.25"/>
    <row r="1297" ht="24.6" customHeight="1" x14ac:dyDescent="0.25"/>
    <row r="1298" ht="24.6" customHeight="1" x14ac:dyDescent="0.25"/>
    <row r="1299" ht="24.6" customHeight="1" x14ac:dyDescent="0.25"/>
    <row r="1300" ht="36" customHeight="1" x14ac:dyDescent="0.25"/>
    <row r="1301" ht="24.6" customHeight="1" x14ac:dyDescent="0.25"/>
    <row r="1302" ht="24.6" customHeight="1" x14ac:dyDescent="0.25"/>
    <row r="1303" ht="24.6" customHeight="1" x14ac:dyDescent="0.25"/>
    <row r="1304" ht="24.6" customHeight="1" x14ac:dyDescent="0.25"/>
    <row r="1305" ht="24.6" customHeight="1" x14ac:dyDescent="0.25"/>
    <row r="1306" ht="24.6" customHeight="1" x14ac:dyDescent="0.25"/>
    <row r="1307" ht="24.6" customHeight="1" x14ac:dyDescent="0.25"/>
    <row r="1308" ht="24.6" customHeight="1" x14ac:dyDescent="0.25"/>
    <row r="1309" ht="24.6" customHeight="1" x14ac:dyDescent="0.25"/>
    <row r="1310" ht="36" customHeight="1" x14ac:dyDescent="0.25"/>
    <row r="1311" ht="24.6" customHeight="1" x14ac:dyDescent="0.25"/>
    <row r="1312" ht="24.6" customHeight="1" x14ac:dyDescent="0.25"/>
    <row r="1313" ht="24.6" customHeight="1" x14ac:dyDescent="0.25"/>
    <row r="1314" ht="24.6" customHeight="1" x14ac:dyDescent="0.25"/>
    <row r="1315" ht="24.6" customHeight="1" x14ac:dyDescent="0.25"/>
    <row r="1316" ht="24.6" customHeight="1" x14ac:dyDescent="0.25"/>
    <row r="1317" ht="24.6" customHeight="1" x14ac:dyDescent="0.25"/>
    <row r="1318" ht="24.6" customHeight="1" x14ac:dyDescent="0.25"/>
    <row r="1319" ht="24.6" customHeight="1" x14ac:dyDescent="0.25"/>
    <row r="1320" ht="36" customHeight="1" x14ac:dyDescent="0.25"/>
    <row r="1321" ht="24.6" customHeight="1" x14ac:dyDescent="0.25"/>
    <row r="1322" ht="24.6" customHeight="1" x14ac:dyDescent="0.25"/>
    <row r="1323" ht="24.6" customHeight="1" x14ac:dyDescent="0.25"/>
    <row r="1324" ht="24.6" customHeight="1" x14ac:dyDescent="0.25"/>
    <row r="1325" ht="24.6" customHeight="1" x14ac:dyDescent="0.25"/>
    <row r="1326" ht="24.6" customHeight="1" x14ac:dyDescent="0.25"/>
    <row r="1327" ht="24.6" customHeight="1" x14ac:dyDescent="0.25"/>
    <row r="1328" ht="24.6" customHeight="1" x14ac:dyDescent="0.25"/>
    <row r="1329" ht="24.6" customHeight="1" x14ac:dyDescent="0.25"/>
    <row r="1330" ht="36" customHeight="1" x14ac:dyDescent="0.25"/>
    <row r="1331" ht="24.6" customHeight="1" x14ac:dyDescent="0.25"/>
    <row r="1332" ht="24.6" customHeight="1" x14ac:dyDescent="0.25"/>
    <row r="1333" ht="24.6" customHeight="1" x14ac:dyDescent="0.25"/>
    <row r="1334" ht="24.6" customHeight="1" x14ac:dyDescent="0.25"/>
    <row r="1335" ht="24.6" customHeight="1" x14ac:dyDescent="0.25"/>
    <row r="1336" ht="24.6" customHeight="1" x14ac:dyDescent="0.25"/>
    <row r="1337" ht="24.6" customHeight="1" x14ac:dyDescent="0.25"/>
    <row r="1338" ht="24.6" customHeight="1" x14ac:dyDescent="0.25"/>
    <row r="1339" ht="24.6" customHeight="1" x14ac:dyDescent="0.25"/>
    <row r="1340" ht="36" customHeight="1" x14ac:dyDescent="0.25"/>
    <row r="1341" ht="24.6" customHeight="1" x14ac:dyDescent="0.25"/>
    <row r="1342" ht="24.6" customHeight="1" x14ac:dyDescent="0.25"/>
    <row r="1343" ht="24.6" customHeight="1" x14ac:dyDescent="0.25"/>
    <row r="1344" ht="24.6" customHeight="1" x14ac:dyDescent="0.25"/>
    <row r="1345" ht="24.6" customHeight="1" x14ac:dyDescent="0.25"/>
    <row r="1346" ht="24.6" customHeight="1" x14ac:dyDescent="0.25"/>
    <row r="1347" ht="24.6" customHeight="1" x14ac:dyDescent="0.25"/>
    <row r="1348" ht="24.6" customHeight="1" x14ac:dyDescent="0.25"/>
    <row r="1349" ht="24.6" customHeight="1" x14ac:dyDescent="0.25"/>
    <row r="1350" ht="36" customHeight="1" x14ac:dyDescent="0.25"/>
    <row r="1351" ht="24.6" customHeight="1" x14ac:dyDescent="0.25"/>
    <row r="1352" ht="24.6" customHeight="1" x14ac:dyDescent="0.25"/>
    <row r="1353" ht="24.6" customHeight="1" x14ac:dyDescent="0.25"/>
    <row r="1354" ht="24.6" customHeight="1" x14ac:dyDescent="0.25"/>
    <row r="1355" ht="24.6" customHeight="1" x14ac:dyDescent="0.25"/>
    <row r="1356" ht="24.6" customHeight="1" x14ac:dyDescent="0.25"/>
    <row r="1357" ht="24.6" customHeight="1" x14ac:dyDescent="0.25"/>
    <row r="1358" ht="24.6" customHeight="1" x14ac:dyDescent="0.25"/>
    <row r="1359" ht="24.6" customHeight="1" x14ac:dyDescent="0.25"/>
    <row r="1360" ht="36" customHeight="1" x14ac:dyDescent="0.25"/>
    <row r="1361" ht="24.6" customHeight="1" x14ac:dyDescent="0.25"/>
    <row r="1362" ht="24.6" customHeight="1" x14ac:dyDescent="0.25"/>
    <row r="1363" ht="24.6" customHeight="1" x14ac:dyDescent="0.25"/>
    <row r="1364" ht="24.6" customHeight="1" x14ac:dyDescent="0.25"/>
    <row r="1365" ht="24.6" customHeight="1" x14ac:dyDescent="0.25"/>
    <row r="1366" ht="24.6" customHeight="1" x14ac:dyDescent="0.25"/>
    <row r="1367" ht="24.6" customHeight="1" x14ac:dyDescent="0.25"/>
    <row r="1368" ht="24.6" customHeight="1" x14ac:dyDescent="0.25"/>
    <row r="1369" ht="24.6" customHeight="1" x14ac:dyDescent="0.25"/>
    <row r="1370" ht="36" customHeight="1" x14ac:dyDescent="0.25"/>
    <row r="1371" ht="24.6" customHeight="1" x14ac:dyDescent="0.25"/>
    <row r="1372" ht="24.6" customHeight="1" x14ac:dyDescent="0.25"/>
    <row r="1373" ht="24.6" customHeight="1" x14ac:dyDescent="0.25"/>
    <row r="1374" ht="24.6" customHeight="1" x14ac:dyDescent="0.25"/>
    <row r="1375" ht="24.6" customHeight="1" x14ac:dyDescent="0.25"/>
    <row r="1376" ht="24.6" customHeight="1" x14ac:dyDescent="0.25"/>
    <row r="1377" ht="24.6" customHeight="1" x14ac:dyDescent="0.25"/>
    <row r="1378" ht="24.6" customHeight="1" x14ac:dyDescent="0.25"/>
    <row r="1379" ht="24.6" customHeight="1" x14ac:dyDescent="0.25"/>
    <row r="1380" ht="36" customHeight="1" x14ac:dyDescent="0.25"/>
    <row r="1381" ht="24.6" customHeight="1" x14ac:dyDescent="0.25"/>
    <row r="1382" ht="24.6" customHeight="1" x14ac:dyDescent="0.25"/>
    <row r="1383" ht="24.6" customHeight="1" x14ac:dyDescent="0.25"/>
    <row r="1384" ht="24.6" customHeight="1" x14ac:dyDescent="0.25"/>
    <row r="1385" ht="24.6" customHeight="1" x14ac:dyDescent="0.25"/>
    <row r="1386" ht="24.6" customHeight="1" x14ac:dyDescent="0.25"/>
    <row r="1387" ht="24.6" customHeight="1" x14ac:dyDescent="0.25"/>
    <row r="1388" ht="24.6" customHeight="1" x14ac:dyDescent="0.25"/>
    <row r="1389" ht="24.6" customHeight="1" x14ac:dyDescent="0.25"/>
    <row r="1390" ht="36" customHeight="1" x14ac:dyDescent="0.25"/>
    <row r="1391" ht="24.6" customHeight="1" x14ac:dyDescent="0.25"/>
    <row r="1392" ht="24.6" customHeight="1" x14ac:dyDescent="0.25"/>
    <row r="1393" ht="24.6" customHeight="1" x14ac:dyDescent="0.25"/>
    <row r="1394" ht="24.6" customHeight="1" x14ac:dyDescent="0.25"/>
    <row r="1395" ht="24.6" customHeight="1" x14ac:dyDescent="0.25"/>
    <row r="1396" ht="24.6" customHeight="1" x14ac:dyDescent="0.25"/>
    <row r="1397" ht="24.6" customHeight="1" x14ac:dyDescent="0.25"/>
    <row r="1398" ht="24.6" customHeight="1" x14ac:dyDescent="0.25"/>
    <row r="1399" ht="24.6" customHeight="1" x14ac:dyDescent="0.25"/>
    <row r="1400" ht="36" customHeight="1" x14ac:dyDescent="0.25"/>
    <row r="1401" ht="24.6" customHeight="1" x14ac:dyDescent="0.25"/>
    <row r="1402" ht="24.6" customHeight="1" x14ac:dyDescent="0.25"/>
    <row r="1403" ht="24.6" customHeight="1" x14ac:dyDescent="0.25"/>
    <row r="1404" ht="24.6" customHeight="1" x14ac:dyDescent="0.25"/>
    <row r="1405" ht="24.6" customHeight="1" x14ac:dyDescent="0.25"/>
    <row r="1406" ht="24.6" customHeight="1" x14ac:dyDescent="0.25"/>
    <row r="1407" ht="24.6" customHeight="1" x14ac:dyDescent="0.25"/>
    <row r="1408" ht="24.6" customHeight="1" x14ac:dyDescent="0.25"/>
    <row r="1409" ht="24.6" customHeight="1" x14ac:dyDescent="0.25"/>
    <row r="1410" ht="36" customHeight="1" x14ac:dyDescent="0.25"/>
    <row r="1411" ht="24.6" customHeight="1" x14ac:dyDescent="0.25"/>
    <row r="1412" ht="24.6" customHeight="1" x14ac:dyDescent="0.25"/>
    <row r="1413" ht="24.6" customHeight="1" x14ac:dyDescent="0.25"/>
    <row r="1414" ht="24.6" customHeight="1" x14ac:dyDescent="0.25"/>
    <row r="1415" ht="24.6" customHeight="1" x14ac:dyDescent="0.25"/>
    <row r="1416" ht="24.6" customHeight="1" x14ac:dyDescent="0.25"/>
    <row r="1417" ht="24.6" customHeight="1" x14ac:dyDescent="0.25"/>
    <row r="1418" ht="24.6" customHeight="1" x14ac:dyDescent="0.25"/>
    <row r="1419" ht="24.6" customHeight="1" x14ac:dyDescent="0.25"/>
    <row r="1420" ht="36" customHeight="1" x14ac:dyDescent="0.25"/>
    <row r="1421" ht="24.6" customHeight="1" x14ac:dyDescent="0.25"/>
    <row r="1422" ht="24.6" customHeight="1" x14ac:dyDescent="0.25"/>
    <row r="1423" ht="24.6" customHeight="1" x14ac:dyDescent="0.25"/>
    <row r="1424" ht="24.6" customHeight="1" x14ac:dyDescent="0.25"/>
    <row r="1425" ht="24.6" customHeight="1" x14ac:dyDescent="0.25"/>
    <row r="1426" ht="24.6" customHeight="1" x14ac:dyDescent="0.25"/>
    <row r="1427" ht="24.6" customHeight="1" x14ac:dyDescent="0.25"/>
    <row r="1428" ht="24.6" customHeight="1" x14ac:dyDescent="0.25"/>
    <row r="1429" ht="24.6" customHeight="1" x14ac:dyDescent="0.25"/>
    <row r="1430" ht="36" customHeight="1" x14ac:dyDescent="0.25"/>
    <row r="1431" ht="24.6" customHeight="1" x14ac:dyDescent="0.25"/>
    <row r="1432" ht="24.6" customHeight="1" x14ac:dyDescent="0.25"/>
    <row r="1433" ht="24.6" customHeight="1" x14ac:dyDescent="0.25"/>
    <row r="1434" ht="24.6" customHeight="1" x14ac:dyDescent="0.25"/>
    <row r="1435" ht="24.6" customHeight="1" x14ac:dyDescent="0.25"/>
    <row r="1436" ht="24.6" customHeight="1" x14ac:dyDescent="0.25"/>
    <row r="1437" ht="24.6" customHeight="1" x14ac:dyDescent="0.25"/>
    <row r="1438" ht="24.6" customHeight="1" x14ac:dyDescent="0.25"/>
    <row r="1439" ht="24.6" customHeight="1" x14ac:dyDescent="0.25"/>
    <row r="1440" ht="36" customHeight="1" x14ac:dyDescent="0.25"/>
    <row r="1441" ht="24.6" customHeight="1" x14ac:dyDescent="0.25"/>
    <row r="1442" ht="24.6" customHeight="1" x14ac:dyDescent="0.25"/>
    <row r="1443" ht="24.6" customHeight="1" x14ac:dyDescent="0.25"/>
    <row r="1444" ht="24.6" customHeight="1" x14ac:dyDescent="0.25"/>
    <row r="1445" ht="24.6" customHeight="1" x14ac:dyDescent="0.25"/>
    <row r="1446" ht="24.6" customHeight="1" x14ac:dyDescent="0.25"/>
    <row r="1447" ht="24.6" customHeight="1" x14ac:dyDescent="0.25"/>
    <row r="1448" ht="24.6" customHeight="1" x14ac:dyDescent="0.25"/>
    <row r="1449" ht="24.6" customHeight="1" x14ac:dyDescent="0.25"/>
    <row r="1450" ht="36" customHeight="1" x14ac:dyDescent="0.25"/>
    <row r="1451" ht="24.6" customHeight="1" x14ac:dyDescent="0.25"/>
    <row r="1452" ht="24.6" customHeight="1" x14ac:dyDescent="0.25"/>
    <row r="1453" ht="24.6" customHeight="1" x14ac:dyDescent="0.25"/>
    <row r="1454" ht="24.6" customHeight="1" x14ac:dyDescent="0.25"/>
    <row r="1455" ht="24.6" customHeight="1" x14ac:dyDescent="0.25"/>
    <row r="1456" ht="24.6" customHeight="1" x14ac:dyDescent="0.25"/>
    <row r="1457" ht="24.6" customHeight="1" x14ac:dyDescent="0.25"/>
    <row r="1458" ht="24.6" customHeight="1" x14ac:dyDescent="0.25"/>
    <row r="1459" ht="24.6" customHeight="1" x14ac:dyDescent="0.25"/>
    <row r="1460" ht="36" customHeight="1" x14ac:dyDescent="0.25"/>
    <row r="1461" ht="24.6" customHeight="1" x14ac:dyDescent="0.25"/>
    <row r="1462" ht="24.6" customHeight="1" x14ac:dyDescent="0.25"/>
    <row r="1463" ht="24.6" customHeight="1" x14ac:dyDescent="0.25"/>
    <row r="1464" ht="24.6" customHeight="1" x14ac:dyDescent="0.25"/>
    <row r="1465" ht="24.6" customHeight="1" x14ac:dyDescent="0.25"/>
    <row r="1466" ht="24.6" customHeight="1" x14ac:dyDescent="0.25"/>
    <row r="1467" ht="24.6" customHeight="1" x14ac:dyDescent="0.25"/>
    <row r="1468" ht="24.6" customHeight="1" x14ac:dyDescent="0.25"/>
    <row r="1469" ht="24.6" customHeight="1" x14ac:dyDescent="0.25"/>
    <row r="1470" ht="36" customHeight="1" x14ac:dyDescent="0.25"/>
    <row r="1471" ht="24.6" customHeight="1" x14ac:dyDescent="0.25"/>
    <row r="1472" ht="24.6" customHeight="1" x14ac:dyDescent="0.25"/>
    <row r="1473" ht="24.6" customHeight="1" x14ac:dyDescent="0.25"/>
    <row r="1474" ht="24.6" customHeight="1" x14ac:dyDescent="0.25"/>
    <row r="1475" ht="24.6" customHeight="1" x14ac:dyDescent="0.25"/>
    <row r="1476" ht="24.6" customHeight="1" x14ac:dyDescent="0.25"/>
    <row r="1477" ht="24.6" customHeight="1" x14ac:dyDescent="0.25"/>
    <row r="1478" ht="24.6" customHeight="1" x14ac:dyDescent="0.25"/>
    <row r="1479" ht="24.6" customHeight="1" x14ac:dyDescent="0.25"/>
    <row r="1480" ht="36" customHeight="1" x14ac:dyDescent="0.25"/>
    <row r="1481" ht="24.6" customHeight="1" x14ac:dyDescent="0.25"/>
    <row r="1482" ht="24.6" customHeight="1" x14ac:dyDescent="0.25"/>
    <row r="1483" ht="24.6" customHeight="1" x14ac:dyDescent="0.25"/>
    <row r="1484" ht="24.6" customHeight="1" x14ac:dyDescent="0.25"/>
    <row r="1485" ht="24.6" customHeight="1" x14ac:dyDescent="0.25"/>
    <row r="1486" ht="24.6" customHeight="1" x14ac:dyDescent="0.25"/>
    <row r="1487" ht="24.6" customHeight="1" x14ac:dyDescent="0.25"/>
    <row r="1488" ht="24.6" customHeight="1" x14ac:dyDescent="0.25"/>
    <row r="1489" ht="24.6" customHeight="1" x14ac:dyDescent="0.25"/>
    <row r="1490" ht="36" customHeight="1" x14ac:dyDescent="0.25"/>
    <row r="1491" ht="24.6" customHeight="1" x14ac:dyDescent="0.25"/>
    <row r="1492" ht="24.6" customHeight="1" x14ac:dyDescent="0.25"/>
    <row r="1493" ht="24.6" customHeight="1" x14ac:dyDescent="0.25"/>
    <row r="1494" ht="24.6" customHeight="1" x14ac:dyDescent="0.25"/>
    <row r="1495" ht="24.6" customHeight="1" x14ac:dyDescent="0.25"/>
    <row r="1496" ht="24.6" customHeight="1" x14ac:dyDescent="0.25"/>
    <row r="1497" ht="24.6" customHeight="1" x14ac:dyDescent="0.25"/>
    <row r="1498" ht="24.6" customHeight="1" x14ac:dyDescent="0.25"/>
    <row r="1499" ht="24.6" customHeight="1" x14ac:dyDescent="0.25"/>
    <row r="1500" ht="36" customHeight="1" x14ac:dyDescent="0.25"/>
    <row r="1501" ht="24.6" customHeight="1" x14ac:dyDescent="0.25"/>
    <row r="1502" ht="24.6" customHeight="1" x14ac:dyDescent="0.25"/>
    <row r="1503" ht="24.6" customHeight="1" x14ac:dyDescent="0.25"/>
    <row r="1504" ht="24.6" customHeight="1" x14ac:dyDescent="0.25"/>
    <row r="1505" ht="24.6" customHeight="1" x14ac:dyDescent="0.25"/>
    <row r="1506" ht="24.6" customHeight="1" x14ac:dyDescent="0.25"/>
    <row r="1507" ht="24.6" customHeight="1" x14ac:dyDescent="0.25"/>
    <row r="1508" ht="24.6" customHeight="1" x14ac:dyDescent="0.25"/>
    <row r="1509" ht="24.6" customHeight="1" x14ac:dyDescent="0.25"/>
    <row r="1510" ht="36" customHeight="1" x14ac:dyDescent="0.25"/>
    <row r="1511" ht="24.6" customHeight="1" x14ac:dyDescent="0.25"/>
    <row r="1512" ht="24.6" customHeight="1" x14ac:dyDescent="0.25"/>
    <row r="1513" ht="24.6" customHeight="1" x14ac:dyDescent="0.25"/>
    <row r="1514" ht="24.6" customHeight="1" x14ac:dyDescent="0.25"/>
    <row r="1515" ht="24.6" customHeight="1" x14ac:dyDescent="0.25"/>
    <row r="1516" ht="24.6" customHeight="1" x14ac:dyDescent="0.25"/>
    <row r="1517" ht="24.6" customHeight="1" x14ac:dyDescent="0.25"/>
    <row r="1518" ht="24.6" customHeight="1" x14ac:dyDescent="0.25"/>
    <row r="1519" ht="24.6" customHeight="1" x14ac:dyDescent="0.25"/>
    <row r="1520" ht="36" customHeight="1" x14ac:dyDescent="0.25"/>
    <row r="1521" ht="24.6" customHeight="1" x14ac:dyDescent="0.25"/>
    <row r="1522" ht="24.6" customHeight="1" x14ac:dyDescent="0.25"/>
    <row r="1523" ht="24.6" customHeight="1" x14ac:dyDescent="0.25"/>
    <row r="1524" ht="24.6" customHeight="1" x14ac:dyDescent="0.25"/>
    <row r="1525" ht="24.6" customHeight="1" x14ac:dyDescent="0.25"/>
    <row r="1526" ht="24.6" customHeight="1" x14ac:dyDescent="0.25"/>
    <row r="1527" ht="24.6" customHeight="1" x14ac:dyDescent="0.25"/>
    <row r="1528" ht="24.6" customHeight="1" x14ac:dyDescent="0.25"/>
    <row r="1529" ht="24.6" customHeight="1" x14ac:dyDescent="0.25"/>
    <row r="1530" ht="36" customHeight="1" x14ac:dyDescent="0.25"/>
    <row r="1531" ht="24.6" customHeight="1" x14ac:dyDescent="0.25"/>
    <row r="1532" ht="24.6" customHeight="1" x14ac:dyDescent="0.25"/>
    <row r="1533" ht="24.6" customHeight="1" x14ac:dyDescent="0.25"/>
    <row r="1534" ht="24.6" customHeight="1" x14ac:dyDescent="0.25"/>
    <row r="1535" ht="24.6" customHeight="1" x14ac:dyDescent="0.25"/>
    <row r="1536" ht="24.6" customHeight="1" x14ac:dyDescent="0.25"/>
    <row r="1537" ht="24.6" customHeight="1" x14ac:dyDescent="0.25"/>
    <row r="1538" ht="24.6" customHeight="1" x14ac:dyDescent="0.25"/>
    <row r="1539" ht="24.6" customHeight="1" x14ac:dyDescent="0.25"/>
    <row r="1540" ht="36" customHeight="1" x14ac:dyDescent="0.25"/>
    <row r="1541" ht="24.6" customHeight="1" x14ac:dyDescent="0.25"/>
    <row r="1542" ht="24.6" customHeight="1" x14ac:dyDescent="0.25"/>
    <row r="1543" ht="24.6" customHeight="1" x14ac:dyDescent="0.25"/>
    <row r="1544" ht="24.6" customHeight="1" x14ac:dyDescent="0.25"/>
    <row r="1545" ht="24.6" customHeight="1" x14ac:dyDescent="0.25"/>
    <row r="1546" ht="24.6" customHeight="1" x14ac:dyDescent="0.25"/>
    <row r="1547" ht="24.6" customHeight="1" x14ac:dyDescent="0.25"/>
    <row r="1548" ht="24.6" customHeight="1" x14ac:dyDescent="0.25"/>
    <row r="1549" ht="24.6" customHeight="1" x14ac:dyDescent="0.25"/>
    <row r="1550" ht="36" customHeight="1" x14ac:dyDescent="0.25"/>
    <row r="1551" ht="24.6" customHeight="1" x14ac:dyDescent="0.25"/>
    <row r="1552" ht="24.6" customHeight="1" x14ac:dyDescent="0.25"/>
    <row r="1553" ht="24.6" customHeight="1" x14ac:dyDescent="0.25"/>
    <row r="1554" ht="24.6" customHeight="1" x14ac:dyDescent="0.25"/>
    <row r="1555" ht="24.6" customHeight="1" x14ac:dyDescent="0.25"/>
    <row r="1556" ht="24.6" customHeight="1" x14ac:dyDescent="0.25"/>
    <row r="1557" ht="24.6" customHeight="1" x14ac:dyDescent="0.25"/>
    <row r="1558" ht="24.6" customHeight="1" x14ac:dyDescent="0.25"/>
    <row r="1559" ht="24.6" customHeight="1" x14ac:dyDescent="0.25"/>
    <row r="1560" ht="36" customHeight="1" x14ac:dyDescent="0.25"/>
    <row r="1561" ht="24.6" customHeight="1" x14ac:dyDescent="0.25"/>
    <row r="1562" ht="24.6" customHeight="1" x14ac:dyDescent="0.25"/>
    <row r="1563" ht="24.6" customHeight="1" x14ac:dyDescent="0.25"/>
    <row r="1564" ht="24.6" customHeight="1" x14ac:dyDescent="0.25"/>
    <row r="1565" ht="24.6" customHeight="1" x14ac:dyDescent="0.25"/>
    <row r="1566" ht="24.6" customHeight="1" x14ac:dyDescent="0.25"/>
    <row r="1567" ht="24.6" customHeight="1" x14ac:dyDescent="0.25"/>
    <row r="1568" ht="24.6" customHeight="1" x14ac:dyDescent="0.25"/>
    <row r="1569" ht="24.6" customHeight="1" x14ac:dyDescent="0.25"/>
    <row r="1570" ht="36" customHeight="1" x14ac:dyDescent="0.25"/>
    <row r="1571" ht="24.6" customHeight="1" x14ac:dyDescent="0.25"/>
    <row r="1572" ht="24.6" customHeight="1" x14ac:dyDescent="0.25"/>
    <row r="1573" ht="24.6" customHeight="1" x14ac:dyDescent="0.25"/>
    <row r="1574" ht="24.6" customHeight="1" x14ac:dyDescent="0.25"/>
    <row r="1575" ht="24.6" customHeight="1" x14ac:dyDescent="0.25"/>
    <row r="1576" ht="24.6" customHeight="1" x14ac:dyDescent="0.25"/>
    <row r="1577" ht="24.6" customHeight="1" x14ac:dyDescent="0.25"/>
    <row r="1578" ht="24.6" customHeight="1" x14ac:dyDescent="0.25"/>
    <row r="1579" ht="24.6" customHeight="1" x14ac:dyDescent="0.25"/>
    <row r="1580" ht="36" customHeight="1" x14ac:dyDescent="0.25"/>
    <row r="1581" ht="24.6" customHeight="1" x14ac:dyDescent="0.25"/>
    <row r="1582" ht="24.6" customHeight="1" x14ac:dyDescent="0.25"/>
    <row r="1583" ht="24.6" customHeight="1" x14ac:dyDescent="0.25"/>
    <row r="1584" ht="24.6" customHeight="1" x14ac:dyDescent="0.25"/>
    <row r="1585" ht="24.6" customHeight="1" x14ac:dyDescent="0.25"/>
    <row r="1586" ht="24.6" customHeight="1" x14ac:dyDescent="0.25"/>
    <row r="1587" ht="24.6" customHeight="1" x14ac:dyDescent="0.25"/>
    <row r="1588" ht="24.6" customHeight="1" x14ac:dyDescent="0.25"/>
    <row r="1589" ht="24.6" customHeight="1" x14ac:dyDescent="0.25"/>
    <row r="1590" ht="36" customHeight="1" x14ac:dyDescent="0.25"/>
    <row r="1591" ht="24.6" customHeight="1" x14ac:dyDescent="0.25"/>
    <row r="1592" ht="24.6" customHeight="1" x14ac:dyDescent="0.25"/>
    <row r="1593" ht="24.6" customHeight="1" x14ac:dyDescent="0.25"/>
    <row r="1594" ht="24.6" customHeight="1" x14ac:dyDescent="0.25"/>
    <row r="1595" ht="24.6" customHeight="1" x14ac:dyDescent="0.25"/>
    <row r="1596" ht="24.6" customHeight="1" x14ac:dyDescent="0.25"/>
    <row r="1597" ht="24.6" customHeight="1" x14ac:dyDescent="0.25"/>
    <row r="1598" ht="24.6" customHeight="1" x14ac:dyDescent="0.25"/>
    <row r="1599" ht="24.6" customHeight="1" x14ac:dyDescent="0.25"/>
    <row r="1600" ht="36" customHeight="1" x14ac:dyDescent="0.25"/>
    <row r="1601" ht="24.6" customHeight="1" x14ac:dyDescent="0.25"/>
    <row r="1602" ht="24.6" customHeight="1" x14ac:dyDescent="0.25"/>
    <row r="1603" ht="24.6" customHeight="1" x14ac:dyDescent="0.25"/>
    <row r="1604" ht="24.6" customHeight="1" x14ac:dyDescent="0.25"/>
    <row r="1605" ht="24.6" customHeight="1" x14ac:dyDescent="0.25"/>
    <row r="1606" ht="24.6" customHeight="1" x14ac:dyDescent="0.25"/>
    <row r="1607" ht="24.6" customHeight="1" x14ac:dyDescent="0.25"/>
    <row r="1608" ht="24.6" customHeight="1" x14ac:dyDescent="0.25"/>
    <row r="1609" ht="24.6" customHeight="1" x14ac:dyDescent="0.25"/>
    <row r="1610" ht="36" customHeight="1" x14ac:dyDescent="0.25"/>
    <row r="1611" ht="24.6" customHeight="1" x14ac:dyDescent="0.25"/>
    <row r="1612" ht="24.6" customHeight="1" x14ac:dyDescent="0.25"/>
    <row r="1613" ht="24.6" customHeight="1" x14ac:dyDescent="0.25"/>
    <row r="1614" ht="24.6" customHeight="1" x14ac:dyDescent="0.25"/>
    <row r="1615" ht="24.6" customHeight="1" x14ac:dyDescent="0.25"/>
    <row r="1616" ht="24.6" customHeight="1" x14ac:dyDescent="0.25"/>
    <row r="1617" ht="24.6" customHeight="1" x14ac:dyDescent="0.25"/>
    <row r="1618" ht="24.6" customHeight="1" x14ac:dyDescent="0.25"/>
    <row r="1619" ht="24.6" customHeight="1" x14ac:dyDescent="0.25"/>
    <row r="1620" ht="36" customHeight="1" x14ac:dyDescent="0.25"/>
    <row r="1621" ht="24.6" customHeight="1" x14ac:dyDescent="0.25"/>
    <row r="1622" ht="24.6" customHeight="1" x14ac:dyDescent="0.25"/>
    <row r="1623" ht="24.6" customHeight="1" x14ac:dyDescent="0.25"/>
    <row r="1624" ht="24.6" customHeight="1" x14ac:dyDescent="0.25"/>
    <row r="1625" ht="24.6" customHeight="1" x14ac:dyDescent="0.25"/>
    <row r="1626" ht="24.6" customHeight="1" x14ac:dyDescent="0.25"/>
    <row r="1627" ht="24.6" customHeight="1" x14ac:dyDescent="0.25"/>
    <row r="1628" ht="24.6" customHeight="1" x14ac:dyDescent="0.25"/>
    <row r="1629" ht="24.6" customHeight="1" x14ac:dyDescent="0.25"/>
    <row r="1630" ht="36" customHeight="1" x14ac:dyDescent="0.25"/>
    <row r="1631" ht="24.6" customHeight="1" x14ac:dyDescent="0.25"/>
    <row r="1632" ht="24.6" customHeight="1" x14ac:dyDescent="0.25"/>
    <row r="1633" ht="24.6" customHeight="1" x14ac:dyDescent="0.25"/>
    <row r="1634" ht="24.6" customHeight="1" x14ac:dyDescent="0.25"/>
    <row r="1635" ht="24.6" customHeight="1" x14ac:dyDescent="0.25"/>
    <row r="1636" ht="24.6" customHeight="1" x14ac:dyDescent="0.25"/>
    <row r="1637" ht="24.6" customHeight="1" x14ac:dyDescent="0.25"/>
    <row r="1638" ht="24.6" customHeight="1" x14ac:dyDescent="0.25"/>
    <row r="1639" ht="24.6" customHeight="1" x14ac:dyDescent="0.25"/>
    <row r="1640" ht="36" customHeight="1" x14ac:dyDescent="0.25"/>
    <row r="1641" ht="24.6" customHeight="1" x14ac:dyDescent="0.25"/>
    <row r="1642" ht="24.6" customHeight="1" x14ac:dyDescent="0.25"/>
    <row r="1643" ht="24.6" customHeight="1" x14ac:dyDescent="0.25"/>
    <row r="1644" ht="24.6" customHeight="1" x14ac:dyDescent="0.25"/>
    <row r="1645" ht="24.6" customHeight="1" x14ac:dyDescent="0.25"/>
    <row r="1646" ht="24.6" customHeight="1" x14ac:dyDescent="0.25"/>
    <row r="1647" ht="24.6" customHeight="1" x14ac:dyDescent="0.25"/>
    <row r="1648" ht="24.6" customHeight="1" x14ac:dyDescent="0.25"/>
    <row r="1649" ht="24.6" customHeight="1" x14ac:dyDescent="0.25"/>
    <row r="1650" ht="36" customHeight="1" x14ac:dyDescent="0.25"/>
    <row r="1651" ht="24.6" customHeight="1" x14ac:dyDescent="0.25"/>
    <row r="1652" ht="24.6" customHeight="1" x14ac:dyDescent="0.25"/>
    <row r="1653" ht="24.6" customHeight="1" x14ac:dyDescent="0.25"/>
    <row r="1654" ht="24.6" customHeight="1" x14ac:dyDescent="0.25"/>
    <row r="1655" ht="24.6" customHeight="1" x14ac:dyDescent="0.25"/>
    <row r="1656" ht="24.6" customHeight="1" x14ac:dyDescent="0.25"/>
    <row r="1657" ht="24.6" customHeight="1" x14ac:dyDescent="0.25"/>
    <row r="1658" ht="24.6" customHeight="1" x14ac:dyDescent="0.25"/>
    <row r="1659" ht="24.6" customHeight="1" x14ac:dyDescent="0.25"/>
    <row r="1660" ht="36" customHeight="1" x14ac:dyDescent="0.25"/>
    <row r="1661" ht="24.6" customHeight="1" x14ac:dyDescent="0.25"/>
    <row r="1662" ht="24.6" customHeight="1" x14ac:dyDescent="0.25"/>
    <row r="1663" ht="24.6" customHeight="1" x14ac:dyDescent="0.25"/>
    <row r="1664" ht="24.6" customHeight="1" x14ac:dyDescent="0.25"/>
    <row r="1665" ht="24.6" customHeight="1" x14ac:dyDescent="0.25"/>
    <row r="1666" ht="24.6" customHeight="1" x14ac:dyDescent="0.25"/>
    <row r="1667" ht="24.6" customHeight="1" x14ac:dyDescent="0.25"/>
    <row r="1668" ht="24.6" customHeight="1" x14ac:dyDescent="0.25"/>
    <row r="1669" ht="24.6" customHeight="1" x14ac:dyDescent="0.25"/>
    <row r="1670" ht="36" customHeight="1" x14ac:dyDescent="0.25"/>
    <row r="1671" ht="24.6" customHeight="1" x14ac:dyDescent="0.25"/>
    <row r="1672" ht="24.6" customHeight="1" x14ac:dyDescent="0.25"/>
    <row r="1673" ht="24.6" customHeight="1" x14ac:dyDescent="0.25"/>
    <row r="1674" ht="24.6" customHeight="1" x14ac:dyDescent="0.25"/>
    <row r="1675" ht="24.6" customHeight="1" x14ac:dyDescent="0.25"/>
    <row r="1676" ht="24.6" customHeight="1" x14ac:dyDescent="0.25"/>
    <row r="1677" ht="24.6" customHeight="1" x14ac:dyDescent="0.25"/>
    <row r="1678" ht="24.6" customHeight="1" x14ac:dyDescent="0.25"/>
    <row r="1679" ht="24.6" customHeight="1" x14ac:dyDescent="0.25"/>
    <row r="1680" ht="36" customHeight="1" x14ac:dyDescent="0.25"/>
    <row r="1681" ht="24.6" customHeight="1" x14ac:dyDescent="0.25"/>
    <row r="1682" ht="24.6" customHeight="1" x14ac:dyDescent="0.25"/>
    <row r="1683" ht="24.6" customHeight="1" x14ac:dyDescent="0.25"/>
    <row r="1684" ht="24.6" customHeight="1" x14ac:dyDescent="0.25"/>
    <row r="1685" ht="24.6" customHeight="1" x14ac:dyDescent="0.25"/>
    <row r="1686" ht="24.6" customHeight="1" x14ac:dyDescent="0.25"/>
    <row r="1687" ht="24.6" customHeight="1" x14ac:dyDescent="0.25"/>
    <row r="1688" ht="24.6" customHeight="1" x14ac:dyDescent="0.25"/>
    <row r="1689" ht="24.6" customHeight="1" x14ac:dyDescent="0.25"/>
    <row r="1690" ht="36" customHeight="1" x14ac:dyDescent="0.25"/>
    <row r="1691" ht="24.6" customHeight="1" x14ac:dyDescent="0.25"/>
    <row r="1692" ht="24.6" customHeight="1" x14ac:dyDescent="0.25"/>
    <row r="1693" ht="24.6" customHeight="1" x14ac:dyDescent="0.25"/>
    <row r="1694" ht="24.6" customHeight="1" x14ac:dyDescent="0.25"/>
    <row r="1695" ht="24.6" customHeight="1" x14ac:dyDescent="0.25"/>
    <row r="1696" ht="24.6" customHeight="1" x14ac:dyDescent="0.25"/>
    <row r="1697" ht="24.6" customHeight="1" x14ac:dyDescent="0.25"/>
    <row r="1698" ht="24.6" customHeight="1" x14ac:dyDescent="0.25"/>
    <row r="1699" ht="24.6" customHeight="1" x14ac:dyDescent="0.25"/>
    <row r="1700" ht="36" customHeight="1" x14ac:dyDescent="0.25"/>
    <row r="1701" ht="24.6" customHeight="1" x14ac:dyDescent="0.25"/>
    <row r="1702" ht="24.6" customHeight="1" x14ac:dyDescent="0.25"/>
    <row r="1703" ht="24.6" customHeight="1" x14ac:dyDescent="0.25"/>
    <row r="1704" ht="24.6" customHeight="1" x14ac:dyDescent="0.25"/>
    <row r="1705" ht="24.6" customHeight="1" x14ac:dyDescent="0.25"/>
    <row r="1706" ht="24.6" customHeight="1" x14ac:dyDescent="0.25"/>
    <row r="1707" ht="24.6" customHeight="1" x14ac:dyDescent="0.25"/>
    <row r="1708" ht="24.6" customHeight="1" x14ac:dyDescent="0.25"/>
    <row r="1709" ht="24.6" customHeight="1" x14ac:dyDescent="0.25"/>
    <row r="1710" ht="36" customHeight="1" x14ac:dyDescent="0.25"/>
    <row r="1711" ht="24.6" customHeight="1" x14ac:dyDescent="0.25"/>
    <row r="1712" ht="24.6" customHeight="1" x14ac:dyDescent="0.25"/>
    <row r="1713" ht="24.6" customHeight="1" x14ac:dyDescent="0.25"/>
    <row r="1714" ht="24.6" customHeight="1" x14ac:dyDescent="0.25"/>
    <row r="1715" ht="24.6" customHeight="1" x14ac:dyDescent="0.25"/>
    <row r="1716" ht="24.6" customHeight="1" x14ac:dyDescent="0.25"/>
    <row r="1717" ht="24.6" customHeight="1" x14ac:dyDescent="0.25"/>
    <row r="1718" ht="24.6" customHeight="1" x14ac:dyDescent="0.25"/>
    <row r="1719" ht="24.6" customHeight="1" x14ac:dyDescent="0.25"/>
    <row r="1720" ht="36" customHeight="1" x14ac:dyDescent="0.25"/>
    <row r="1721" ht="24.6" customHeight="1" x14ac:dyDescent="0.25"/>
    <row r="1722" ht="24.6" customHeight="1" x14ac:dyDescent="0.25"/>
    <row r="1723" ht="24.6" customHeight="1" x14ac:dyDescent="0.25"/>
    <row r="1724" ht="24.6" customHeight="1" x14ac:dyDescent="0.25"/>
    <row r="1725" ht="24.6" customHeight="1" x14ac:dyDescent="0.25"/>
    <row r="1726" ht="24.6" customHeight="1" x14ac:dyDescent="0.25"/>
    <row r="1727" ht="24.6" customHeight="1" x14ac:dyDescent="0.25"/>
    <row r="1728" ht="24.6" customHeight="1" x14ac:dyDescent="0.25"/>
    <row r="1729" ht="24.6" customHeight="1" x14ac:dyDescent="0.25"/>
    <row r="1730" ht="36" customHeight="1" x14ac:dyDescent="0.25"/>
    <row r="1731" ht="24.6" customHeight="1" x14ac:dyDescent="0.25"/>
    <row r="1732" ht="24.6" customHeight="1" x14ac:dyDescent="0.25"/>
    <row r="1733" ht="24.6" customHeight="1" x14ac:dyDescent="0.25"/>
    <row r="1734" ht="24.6" customHeight="1" x14ac:dyDescent="0.25"/>
    <row r="1735" ht="24.6" customHeight="1" x14ac:dyDescent="0.25"/>
    <row r="1736" ht="24.6" customHeight="1" x14ac:dyDescent="0.25"/>
    <row r="1737" ht="24.6" customHeight="1" x14ac:dyDescent="0.25"/>
    <row r="1738" ht="24.6" customHeight="1" x14ac:dyDescent="0.25"/>
    <row r="1739" ht="24.6" customHeight="1" x14ac:dyDescent="0.25"/>
    <row r="1740" ht="36" customHeight="1" x14ac:dyDescent="0.25"/>
    <row r="1741" ht="24.6" customHeight="1" x14ac:dyDescent="0.25"/>
    <row r="1742" ht="24.6" customHeight="1" x14ac:dyDescent="0.25"/>
    <row r="1743" ht="24.6" customHeight="1" x14ac:dyDescent="0.25"/>
    <row r="1744" ht="24.6" customHeight="1" x14ac:dyDescent="0.25"/>
    <row r="1745" ht="24.6" customHeight="1" x14ac:dyDescent="0.25"/>
    <row r="1746" ht="24.6" customHeight="1" x14ac:dyDescent="0.25"/>
    <row r="1747" ht="24.6" customHeight="1" x14ac:dyDescent="0.25"/>
    <row r="1748" ht="24.6" customHeight="1" x14ac:dyDescent="0.25"/>
    <row r="1749" ht="24.6" customHeight="1" x14ac:dyDescent="0.25"/>
    <row r="1750" ht="36" customHeight="1" x14ac:dyDescent="0.25"/>
    <row r="1751" ht="24.6" customHeight="1" x14ac:dyDescent="0.25"/>
    <row r="1752" ht="24.6" customHeight="1" x14ac:dyDescent="0.25"/>
    <row r="1753" ht="24.6" customHeight="1" x14ac:dyDescent="0.25"/>
    <row r="1754" ht="24.6" customHeight="1" x14ac:dyDescent="0.25"/>
    <row r="1755" ht="24.6" customHeight="1" x14ac:dyDescent="0.25"/>
    <row r="1756" ht="24.6" customHeight="1" x14ac:dyDescent="0.25"/>
    <row r="1757" ht="24.6" customHeight="1" x14ac:dyDescent="0.25"/>
    <row r="1758" ht="24.6" customHeight="1" x14ac:dyDescent="0.25"/>
    <row r="1759" ht="24.6" customHeight="1" x14ac:dyDescent="0.25"/>
    <row r="1760" ht="36" customHeight="1" x14ac:dyDescent="0.25"/>
    <row r="1761" ht="24.6" customHeight="1" x14ac:dyDescent="0.25"/>
    <row r="1762" ht="24.6" customHeight="1" x14ac:dyDescent="0.25"/>
    <row r="1763" ht="24.6" customHeight="1" x14ac:dyDescent="0.25"/>
    <row r="1764" ht="24.6" customHeight="1" x14ac:dyDescent="0.25"/>
    <row r="1765" ht="24.6" customHeight="1" x14ac:dyDescent="0.25"/>
    <row r="1766" ht="24.6" customHeight="1" x14ac:dyDescent="0.25"/>
    <row r="1767" ht="24.6" customHeight="1" x14ac:dyDescent="0.25"/>
    <row r="1768" ht="24.6" customHeight="1" x14ac:dyDescent="0.25"/>
    <row r="1769" ht="24.6" customHeight="1" x14ac:dyDescent="0.25"/>
    <row r="1770" ht="36" customHeight="1" x14ac:dyDescent="0.25"/>
    <row r="1771" ht="24.6" customHeight="1" x14ac:dyDescent="0.25"/>
    <row r="1772" ht="24.6" customHeight="1" x14ac:dyDescent="0.25"/>
    <row r="1773" ht="24.6" customHeight="1" x14ac:dyDescent="0.25"/>
    <row r="1774" ht="24.6" customHeight="1" x14ac:dyDescent="0.25"/>
    <row r="1775" ht="24.6" customHeight="1" x14ac:dyDescent="0.25"/>
    <row r="1776" ht="24.6" customHeight="1" x14ac:dyDescent="0.25"/>
    <row r="1777" ht="24.6" customHeight="1" x14ac:dyDescent="0.25"/>
    <row r="1778" ht="24.6" customHeight="1" x14ac:dyDescent="0.25"/>
    <row r="1779" ht="24.6" customHeight="1" x14ac:dyDescent="0.25"/>
    <row r="1780" ht="36" customHeight="1" x14ac:dyDescent="0.25"/>
    <row r="1781" ht="24.6" customHeight="1" x14ac:dyDescent="0.25"/>
    <row r="1782" ht="24.6" customHeight="1" x14ac:dyDescent="0.25"/>
    <row r="1783" ht="24.6" customHeight="1" x14ac:dyDescent="0.25"/>
    <row r="1784" ht="24.6" customHeight="1" x14ac:dyDescent="0.25"/>
    <row r="1785" ht="24.6" customHeight="1" x14ac:dyDescent="0.25"/>
    <row r="1786" ht="24.6" customHeight="1" x14ac:dyDescent="0.25"/>
    <row r="1787" ht="24.6" customHeight="1" x14ac:dyDescent="0.25"/>
    <row r="1788" ht="24.6" customHeight="1" x14ac:dyDescent="0.25"/>
    <row r="1789" ht="24.6" customHeight="1" x14ac:dyDescent="0.25"/>
    <row r="1790" ht="36" customHeight="1" x14ac:dyDescent="0.25"/>
    <row r="1791" ht="24.6" customHeight="1" x14ac:dyDescent="0.25"/>
    <row r="1792" ht="24.6" customHeight="1" x14ac:dyDescent="0.25"/>
    <row r="1793" ht="24.6" customHeight="1" x14ac:dyDescent="0.25"/>
    <row r="1794" ht="24.6" customHeight="1" x14ac:dyDescent="0.25"/>
    <row r="1795" ht="24.6" customHeight="1" x14ac:dyDescent="0.25"/>
    <row r="1796" ht="24.6" customHeight="1" x14ac:dyDescent="0.25"/>
    <row r="1797" ht="24.6" customHeight="1" x14ac:dyDescent="0.25"/>
    <row r="1798" ht="24.6" customHeight="1" x14ac:dyDescent="0.25"/>
    <row r="1799" ht="24.6" customHeight="1" x14ac:dyDescent="0.25"/>
    <row r="1800" ht="36" customHeight="1" x14ac:dyDescent="0.25"/>
    <row r="1801" ht="24.6" customHeight="1" x14ac:dyDescent="0.25"/>
    <row r="1802" ht="24.6" customHeight="1" x14ac:dyDescent="0.25"/>
    <row r="1803" ht="24.6" customHeight="1" x14ac:dyDescent="0.25"/>
    <row r="1804" ht="24.6" customHeight="1" x14ac:dyDescent="0.25"/>
    <row r="1805" ht="24.6" customHeight="1" x14ac:dyDescent="0.25"/>
    <row r="1806" ht="24.6" customHeight="1" x14ac:dyDescent="0.25"/>
    <row r="1807" ht="24.6" customHeight="1" x14ac:dyDescent="0.25"/>
    <row r="1808" ht="24.6" customHeight="1" x14ac:dyDescent="0.25"/>
    <row r="1809" ht="24.6" customHeight="1" x14ac:dyDescent="0.25"/>
    <row r="1810" ht="36" customHeight="1" x14ac:dyDescent="0.25"/>
    <row r="1811" ht="24.6" customHeight="1" x14ac:dyDescent="0.25"/>
    <row r="1812" ht="24.6" customHeight="1" x14ac:dyDescent="0.25"/>
    <row r="1813" ht="24.6" customHeight="1" x14ac:dyDescent="0.25"/>
    <row r="1814" ht="24.6" customHeight="1" x14ac:dyDescent="0.25"/>
    <row r="1815" ht="24.6" customHeight="1" x14ac:dyDescent="0.25"/>
    <row r="1816" ht="24.6" customHeight="1" x14ac:dyDescent="0.25"/>
    <row r="1817" ht="24.6" customHeight="1" x14ac:dyDescent="0.25"/>
    <row r="1818" ht="24.6" customHeight="1" x14ac:dyDescent="0.25"/>
    <row r="1819" ht="24.6" customHeight="1" x14ac:dyDescent="0.25"/>
    <row r="1820" ht="36" customHeight="1" x14ac:dyDescent="0.25"/>
    <row r="1821" ht="24.6" customHeight="1" x14ac:dyDescent="0.25"/>
    <row r="1822" ht="24.6" customHeight="1" x14ac:dyDescent="0.25"/>
    <row r="1823" ht="24.6" customHeight="1" x14ac:dyDescent="0.25"/>
    <row r="1824" ht="24.6" customHeight="1" x14ac:dyDescent="0.25"/>
    <row r="1825" ht="24.6" customHeight="1" x14ac:dyDescent="0.25"/>
    <row r="1826" ht="24.6" customHeight="1" x14ac:dyDescent="0.25"/>
    <row r="1827" ht="24.6" customHeight="1" x14ac:dyDescent="0.25"/>
    <row r="1828" ht="24.6" customHeight="1" x14ac:dyDescent="0.25"/>
    <row r="1829" ht="24.6" customHeight="1" x14ac:dyDescent="0.25"/>
    <row r="1830" ht="36" customHeight="1" x14ac:dyDescent="0.25"/>
    <row r="1831" ht="24.6" customHeight="1" x14ac:dyDescent="0.25"/>
    <row r="1832" ht="24.6" customHeight="1" x14ac:dyDescent="0.25"/>
    <row r="1833" ht="24.6" customHeight="1" x14ac:dyDescent="0.25"/>
    <row r="1834" ht="24.6" customHeight="1" x14ac:dyDescent="0.25"/>
    <row r="1835" ht="24.6" customHeight="1" x14ac:dyDescent="0.25"/>
    <row r="1836" ht="24.6" customHeight="1" x14ac:dyDescent="0.25"/>
    <row r="1837" ht="24.6" customHeight="1" x14ac:dyDescent="0.25"/>
    <row r="1838" ht="24.6" customHeight="1" x14ac:dyDescent="0.25"/>
    <row r="1839" ht="24.6" customHeight="1" x14ac:dyDescent="0.25"/>
    <row r="1840" ht="36" customHeight="1" x14ac:dyDescent="0.25"/>
    <row r="1841" ht="24.6" customHeight="1" x14ac:dyDescent="0.25"/>
    <row r="1842" ht="24.6" customHeight="1" x14ac:dyDescent="0.25"/>
    <row r="1843" ht="24.6" customHeight="1" x14ac:dyDescent="0.25"/>
    <row r="1844" ht="24.6" customHeight="1" x14ac:dyDescent="0.25"/>
    <row r="1845" ht="24.6" customHeight="1" x14ac:dyDescent="0.25"/>
    <row r="1846" ht="24.6" customHeight="1" x14ac:dyDescent="0.25"/>
    <row r="1847" ht="24.6" customHeight="1" x14ac:dyDescent="0.25"/>
    <row r="1848" ht="24.6" customHeight="1" x14ac:dyDescent="0.25"/>
    <row r="1849" ht="24.6" customHeight="1" x14ac:dyDescent="0.25"/>
    <row r="1850" ht="36" customHeight="1" x14ac:dyDescent="0.25"/>
    <row r="1851" ht="24.6" customHeight="1" x14ac:dyDescent="0.25"/>
    <row r="1852" ht="24.6" customHeight="1" x14ac:dyDescent="0.25"/>
    <row r="1853" ht="24.6" customHeight="1" x14ac:dyDescent="0.25"/>
    <row r="1854" ht="24.6" customHeight="1" x14ac:dyDescent="0.25"/>
    <row r="1855" ht="24.6" customHeight="1" x14ac:dyDescent="0.25"/>
    <row r="1856" ht="24.6" customHeight="1" x14ac:dyDescent="0.25"/>
    <row r="1857" ht="24.6" customHeight="1" x14ac:dyDescent="0.25"/>
    <row r="1858" ht="24.6" customHeight="1" x14ac:dyDescent="0.25"/>
    <row r="1859" ht="24.6" customHeight="1" x14ac:dyDescent="0.25"/>
    <row r="1860" ht="36" customHeight="1" x14ac:dyDescent="0.25"/>
    <row r="1861" ht="24.6" customHeight="1" x14ac:dyDescent="0.25"/>
    <row r="1862" ht="24.6" customHeight="1" x14ac:dyDescent="0.25"/>
    <row r="1863" ht="24.6" customHeight="1" x14ac:dyDescent="0.25"/>
    <row r="1864" ht="24.6" customHeight="1" x14ac:dyDescent="0.25"/>
    <row r="1865" ht="24.6" customHeight="1" x14ac:dyDescent="0.25"/>
    <row r="1866" ht="24.6" customHeight="1" x14ac:dyDescent="0.25"/>
    <row r="1867" ht="24.6" customHeight="1" x14ac:dyDescent="0.25"/>
    <row r="1868" ht="24.6" customHeight="1" x14ac:dyDescent="0.25"/>
    <row r="1869" ht="24.6" customHeight="1" x14ac:dyDescent="0.25"/>
    <row r="1870" ht="36" customHeight="1" x14ac:dyDescent="0.25"/>
    <row r="1871" ht="24.6" customHeight="1" x14ac:dyDescent="0.25"/>
    <row r="1872" ht="24.6" customHeight="1" x14ac:dyDescent="0.25"/>
    <row r="1873" ht="24.6" customHeight="1" x14ac:dyDescent="0.25"/>
    <row r="1874" ht="24.6" customHeight="1" x14ac:dyDescent="0.25"/>
    <row r="1875" ht="24.6" customHeight="1" x14ac:dyDescent="0.25"/>
    <row r="1876" ht="24.6" customHeight="1" x14ac:dyDescent="0.25"/>
    <row r="1877" ht="24.6" customHeight="1" x14ac:dyDescent="0.25"/>
    <row r="1878" ht="24.6" customHeight="1" x14ac:dyDescent="0.25"/>
    <row r="1879" ht="24.6" customHeight="1" x14ac:dyDescent="0.25"/>
    <row r="1880" ht="36" customHeight="1" x14ac:dyDescent="0.25"/>
    <row r="1881" ht="24.6" customHeight="1" x14ac:dyDescent="0.25"/>
    <row r="1882" ht="24.6" customHeight="1" x14ac:dyDescent="0.25"/>
    <row r="1883" ht="24.6" customHeight="1" x14ac:dyDescent="0.25"/>
    <row r="1884" ht="24.6" customHeight="1" x14ac:dyDescent="0.25"/>
    <row r="1885" ht="24.6" customHeight="1" x14ac:dyDescent="0.25"/>
    <row r="1886" ht="24.6" customHeight="1" x14ac:dyDescent="0.25"/>
    <row r="1887" ht="24.6" customHeight="1" x14ac:dyDescent="0.25"/>
    <row r="1888" ht="24.6" customHeight="1" x14ac:dyDescent="0.25"/>
    <row r="1889" ht="24.6" customHeight="1" x14ac:dyDescent="0.25"/>
    <row r="1890" ht="36" customHeight="1" x14ac:dyDescent="0.25"/>
    <row r="1891" ht="24.6" customHeight="1" x14ac:dyDescent="0.25"/>
    <row r="1892" ht="24.6" customHeight="1" x14ac:dyDescent="0.25"/>
    <row r="1893" ht="24.6" customHeight="1" x14ac:dyDescent="0.25"/>
    <row r="1894" ht="24.6" customHeight="1" x14ac:dyDescent="0.25"/>
    <row r="1895" ht="24.6" customHeight="1" x14ac:dyDescent="0.25"/>
    <row r="1896" ht="24.6" customHeight="1" x14ac:dyDescent="0.25"/>
    <row r="1897" ht="24.6" customHeight="1" x14ac:dyDescent="0.25"/>
    <row r="1898" ht="24.6" customHeight="1" x14ac:dyDescent="0.25"/>
    <row r="1899" ht="24.6" customHeight="1" x14ac:dyDescent="0.25"/>
    <row r="1900" ht="36" customHeight="1" x14ac:dyDescent="0.25"/>
    <row r="1901" ht="24.6" customHeight="1" x14ac:dyDescent="0.25"/>
    <row r="1902" ht="24.6" customHeight="1" x14ac:dyDescent="0.25"/>
    <row r="1903" ht="24.6" customHeight="1" x14ac:dyDescent="0.25"/>
    <row r="1904" ht="24.6" customHeight="1" x14ac:dyDescent="0.25"/>
    <row r="1905" ht="24.6" customHeight="1" x14ac:dyDescent="0.25"/>
    <row r="1906" ht="24.6" customHeight="1" x14ac:dyDescent="0.25"/>
    <row r="1907" ht="24.6" customHeight="1" x14ac:dyDescent="0.25"/>
    <row r="1908" ht="24.6" customHeight="1" x14ac:dyDescent="0.25"/>
    <row r="1909" ht="24.6" customHeight="1" x14ac:dyDescent="0.25"/>
    <row r="1910" ht="36" customHeight="1" x14ac:dyDescent="0.25"/>
    <row r="1911" ht="24.6" customHeight="1" x14ac:dyDescent="0.25"/>
    <row r="1912" ht="24.6" customHeight="1" x14ac:dyDescent="0.25"/>
    <row r="1913" ht="24.6" customHeight="1" x14ac:dyDescent="0.25"/>
    <row r="1914" ht="24.6" customHeight="1" x14ac:dyDescent="0.25"/>
    <row r="1915" ht="24.6" customHeight="1" x14ac:dyDescent="0.25"/>
    <row r="1916" ht="24.6" customHeight="1" x14ac:dyDescent="0.25"/>
    <row r="1917" ht="24.6" customHeight="1" x14ac:dyDescent="0.25"/>
    <row r="1918" ht="24.6" customHeight="1" x14ac:dyDescent="0.25"/>
    <row r="1919" ht="24.6" customHeight="1" x14ac:dyDescent="0.25"/>
    <row r="1920" ht="36" customHeight="1" x14ac:dyDescent="0.25"/>
  </sheetData>
  <mergeCells count="17">
    <mergeCell ref="I3:P8"/>
    <mergeCell ref="I13:P18"/>
    <mergeCell ref="I23:P28"/>
    <mergeCell ref="I33:P38"/>
    <mergeCell ref="I43:P48"/>
    <mergeCell ref="I153:P158"/>
    <mergeCell ref="I163:P168"/>
    <mergeCell ref="I103:P108"/>
    <mergeCell ref="I113:P118"/>
    <mergeCell ref="I123:P128"/>
    <mergeCell ref="I133:P138"/>
    <mergeCell ref="I143:P148"/>
    <mergeCell ref="I53:P58"/>
    <mergeCell ref="I63:P68"/>
    <mergeCell ref="I73:P78"/>
    <mergeCell ref="I83:P88"/>
    <mergeCell ref="I93:P98"/>
  </mergeCells>
  <printOptions horizontalCentered="1"/>
  <pageMargins left="0.25" right="0.25" top="0.25" bottom="0.25" header="0" footer="0"/>
  <pageSetup fitToWidth="0" fitToHeight="0" orientation="portrait" r:id="rId1"/>
  <headerFooter>
    <oddFooter>&amp;R&amp;P</oddFooter>
  </headerFooter>
  <rowBreaks count="2" manualBreakCount="2">
    <brk id="10" max="16383" man="1"/>
    <brk id="160" max="1638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2B1CA-E39D-4B80-A616-BF413C3B5616}">
  <sheetPr codeName="Sheet15"/>
  <dimension ref="D1:S29"/>
  <sheetViews>
    <sheetView topLeftCell="A5" workbookViewId="0">
      <selection activeCell="M2" sqref="M2"/>
    </sheetView>
  </sheetViews>
  <sheetFormatPr defaultColWidth="3.140625" defaultRowHeight="18" customHeight="1" x14ac:dyDescent="0.25"/>
  <cols>
    <col min="4" max="4" width="3.140625" style="126"/>
    <col min="5" max="5" width="12.7109375" style="126" customWidth="1"/>
    <col min="6" max="6" width="3.7109375" style="130" customWidth="1"/>
    <col min="7" max="18" width="5" customWidth="1"/>
    <col min="19" max="21" width="3.140625" customWidth="1"/>
    <col min="22" max="26" width="5" customWidth="1"/>
  </cols>
  <sheetData>
    <row r="1" spans="4:19" ht="18" customHeight="1" x14ac:dyDescent="0.25">
      <c r="D1" s="1"/>
      <c r="M1" s="179" t="s">
        <v>37</v>
      </c>
      <c r="N1" s="179" t="s">
        <v>35</v>
      </c>
      <c r="O1" s="179" t="s">
        <v>24</v>
      </c>
      <c r="P1" s="253" t="s">
        <v>1126</v>
      </c>
      <c r="Q1" s="253"/>
      <c r="R1" s="134" t="s">
        <v>1127</v>
      </c>
    </row>
    <row r="2" spans="4:19" s="2" customFormat="1" ht="18" customHeight="1" x14ac:dyDescent="0.25">
      <c r="D2" s="131" t="str" cm="1">
        <f t="array" ref="D2">"Teacher: " &amp; IFERROR(
  INDEX(teachersetting[Teacher],
    MATCH(1,
      (teachersetting[Level]=M2) *
      (teachersetting[Gender]=N2) *
      (teachersetting[Shift]=P2),
    0)
  ), ""
)</f>
        <v>Teacher: Md Abdur Rashid</v>
      </c>
      <c r="E2" s="127"/>
      <c r="F2" s="127"/>
      <c r="G2" s="122"/>
      <c r="H2" s="122"/>
      <c r="I2" s="122"/>
      <c r="J2" s="122"/>
      <c r="K2" s="122"/>
      <c r="L2" s="122"/>
      <c r="M2" s="180">
        <v>2</v>
      </c>
      <c r="N2" s="180" t="s">
        <v>46</v>
      </c>
      <c r="O2" s="180"/>
      <c r="P2" s="254" t="s">
        <v>1128</v>
      </c>
      <c r="Q2" s="254"/>
      <c r="R2" s="180">
        <v>2025</v>
      </c>
    </row>
    <row r="3" spans="4:19" s="2" customFormat="1" ht="28.7" customHeight="1" x14ac:dyDescent="0.25">
      <c r="D3" s="260" t="s">
        <v>1313</v>
      </c>
      <c r="E3" s="261"/>
      <c r="F3" s="261"/>
      <c r="G3" s="261"/>
      <c r="H3" s="261"/>
      <c r="I3" s="261"/>
      <c r="J3" s="261"/>
      <c r="K3" s="261"/>
      <c r="L3" s="261"/>
      <c r="M3" s="261"/>
      <c r="N3" s="261"/>
      <c r="O3" s="261"/>
      <c r="P3" s="261"/>
      <c r="Q3" s="261"/>
      <c r="R3" s="262"/>
    </row>
    <row r="4" spans="4:19" ht="72" customHeight="1" x14ac:dyDescent="0.25">
      <c r="D4" s="135" t="s">
        <v>1129</v>
      </c>
      <c r="E4" s="135" t="s">
        <v>17</v>
      </c>
      <c r="F4" s="136" t="s">
        <v>18</v>
      </c>
      <c r="G4" s="257" t="s">
        <v>1314</v>
      </c>
      <c r="H4" s="258"/>
      <c r="I4" s="258"/>
      <c r="J4" s="258"/>
      <c r="K4" s="258"/>
      <c r="L4" s="259"/>
      <c r="M4" s="255" t="s">
        <v>1315</v>
      </c>
      <c r="N4" s="256"/>
      <c r="O4" s="256"/>
      <c r="P4" s="256"/>
      <c r="Q4" s="256"/>
      <c r="R4" s="256"/>
      <c r="S4" s="125"/>
    </row>
    <row r="5" spans="4:19" ht="72" customHeight="1" x14ac:dyDescent="0.25">
      <c r="D5" s="129" cm="1">
        <f t="array" aca="1" ref="D5:F21" ca="1">IF(
  _xlfn._xlws.SORT(
    _xlfn._xlws.FILTER(
      CHOOSE({1,2,3},
        INDIRECT("studentdata["&amp;P2&amp;" "&amp;R2&amp;"]"),
        studentdata[Name],
        studentdata[RG]
      ),
      (
        (M2&lt;&gt;"") * (studentdata[Level]=M2) +
        (M2="") * 1
      ) *
      (
        (O2&lt;&gt;"") * (studentdata[Group]=O2) +
        (O2="") * 1
      ) *
      (
        (P2&lt;&gt;"") * (INDIRECT("studentdata["&amp;P2&amp;" "&amp;R2&amp;"]")&lt;&gt;"") +
        (P2="") * 1
      ) *
      (
        (N2&lt;&gt;"") * (studentdata[Gender]=N2) +
        (N2="") * 1
      )
    ),
    1,
    TRUE
  ) = 0,
  "",
  _xlfn._xlws.SORT(
    _xlfn._xlws.FILTER(
      CHOOSE({1,2,3},
        INDIRECT("studentdata["&amp;P2&amp;" "&amp;R2&amp;"]"),
        studentdata[Name],
        studentdata[RG]
      ),
      (
        (M2&lt;&gt;"") * (studentdata[Level]=M2) +
        (M2="") * 1
      ) *
      (
        (O2&lt;&gt;"") * (studentdata[Group]=O2) +
        (O2="") * 1
      ) *
      (
        (P2&lt;&gt;"") * (INDIRECT("studentdata["&amp;P2&amp;" "&amp;R2&amp;"]")&lt;&gt;"") +
        (P2="") * 1
      ) *
      (
        (N2&lt;&gt;"") * (studentdata[Gender]=N2) +
        (N2="") * 1
      )
    ),
    1,
    TRUE
  )
)</f>
        <v>1</v>
      </c>
      <c r="E5" s="129" t="str">
        <f ca="1"/>
        <v>Aaraf Ahmed</v>
      </c>
      <c r="F5" s="133">
        <f ca="1"/>
        <v>145</v>
      </c>
    </row>
    <row r="6" spans="4:19" ht="72" customHeight="1" x14ac:dyDescent="0.25">
      <c r="D6" s="129">
        <f ca="1"/>
        <v>2</v>
      </c>
      <c r="E6" s="129" t="str">
        <f ca="1"/>
        <v>Ahnaf H Anas</v>
      </c>
      <c r="F6" s="133">
        <f ca="1"/>
        <v>167</v>
      </c>
    </row>
    <row r="7" spans="4:19" ht="72" customHeight="1" x14ac:dyDescent="0.25">
      <c r="D7" s="129">
        <f ca="1"/>
        <v>3</v>
      </c>
      <c r="E7" s="129" t="str">
        <f ca="1"/>
        <v>Farhan Uddin</v>
      </c>
      <c r="F7" s="133">
        <f ca="1"/>
        <v>170</v>
      </c>
    </row>
    <row r="8" spans="4:19" ht="72" customHeight="1" x14ac:dyDescent="0.25">
      <c r="D8" s="129">
        <f ca="1"/>
        <v>4</v>
      </c>
      <c r="E8" s="129" t="str">
        <f ca="1"/>
        <v>Ahmed Ibrahim</v>
      </c>
      <c r="F8" s="133">
        <f ca="1"/>
        <v>31</v>
      </c>
    </row>
    <row r="9" spans="4:19" ht="72" customHeight="1" x14ac:dyDescent="0.25">
      <c r="D9" s="129">
        <f ca="1"/>
        <v>5</v>
      </c>
      <c r="E9" s="129" t="str">
        <f ca="1"/>
        <v>Israar Ahmed</v>
      </c>
      <c r="F9" s="133">
        <f ca="1"/>
        <v>44</v>
      </c>
    </row>
    <row r="10" spans="4:19" ht="72" customHeight="1" x14ac:dyDescent="0.25">
      <c r="D10" s="129">
        <f ca="1"/>
        <v>6</v>
      </c>
      <c r="E10" s="129" t="str">
        <f ca="1"/>
        <v>Maher Siraji</v>
      </c>
      <c r="F10" s="133">
        <f ca="1"/>
        <v>146</v>
      </c>
    </row>
    <row r="11" spans="4:19" ht="72" customHeight="1" x14ac:dyDescent="0.25">
      <c r="D11" s="129">
        <f ca="1"/>
        <v>7</v>
      </c>
      <c r="E11" s="129" t="str">
        <f ca="1"/>
        <v>Minhaj Arham</v>
      </c>
      <c r="F11" s="133">
        <f ca="1"/>
        <v>21</v>
      </c>
    </row>
    <row r="12" spans="4:19" ht="72" customHeight="1" x14ac:dyDescent="0.25">
      <c r="D12" s="129">
        <f ca="1"/>
        <v>8</v>
      </c>
      <c r="E12" s="129" t="str">
        <f ca="1"/>
        <v>Mohammad Hasan</v>
      </c>
      <c r="F12" s="133">
        <f ca="1"/>
        <v>10</v>
      </c>
    </row>
    <row r="13" spans="4:19" ht="72" customHeight="1" x14ac:dyDescent="0.25">
      <c r="D13" s="129">
        <f ca="1"/>
        <v>9</v>
      </c>
      <c r="E13" s="129" t="str">
        <f ca="1"/>
        <v>Muaz Mohammad Karim</v>
      </c>
      <c r="F13" s="133">
        <f ca="1"/>
        <v>48</v>
      </c>
    </row>
    <row r="14" spans="4:19" ht="72" customHeight="1" x14ac:dyDescent="0.25">
      <c r="D14" s="129">
        <f ca="1"/>
        <v>10</v>
      </c>
      <c r="E14" s="129" t="str">
        <f ca="1"/>
        <v>Rafi Uddin</v>
      </c>
      <c r="F14" s="133">
        <f ca="1"/>
        <v>15</v>
      </c>
    </row>
    <row r="15" spans="4:19" ht="72" customHeight="1" x14ac:dyDescent="0.25">
      <c r="D15" s="129">
        <f ca="1"/>
        <v>11</v>
      </c>
      <c r="E15" s="129" t="str">
        <f ca="1"/>
        <v>Riyad Miah</v>
      </c>
      <c r="F15" s="133">
        <f ca="1"/>
        <v>80</v>
      </c>
    </row>
    <row r="16" spans="4:19" ht="72" customHeight="1" x14ac:dyDescent="0.25">
      <c r="D16" s="129">
        <f ca="1"/>
        <v>12</v>
      </c>
      <c r="E16" s="129" t="str">
        <f ca="1"/>
        <v>Safwan Ahmed</v>
      </c>
      <c r="F16" s="133">
        <f ca="1"/>
        <v>79</v>
      </c>
    </row>
    <row r="17" spans="4:6" ht="72" customHeight="1" x14ac:dyDescent="0.25">
      <c r="D17" s="7">
        <f ca="1"/>
        <v>13</v>
      </c>
      <c r="E17" s="129" t="str">
        <f ca="1"/>
        <v>Tawfique Hamid Khan</v>
      </c>
      <c r="F17" s="8">
        <f ca="1"/>
        <v>17</v>
      </c>
    </row>
    <row r="18" spans="4:6" ht="72" customHeight="1" x14ac:dyDescent="0.25">
      <c r="D18" s="7">
        <f ca="1"/>
        <v>14</v>
      </c>
      <c r="E18" s="129" t="str">
        <f ca="1"/>
        <v>Yasir Zaman</v>
      </c>
      <c r="F18" s="8">
        <f ca="1"/>
        <v>192</v>
      </c>
    </row>
    <row r="19" spans="4:6" ht="72" customHeight="1" x14ac:dyDescent="0.25">
      <c r="D19" s="7">
        <f ca="1"/>
        <v>15</v>
      </c>
      <c r="E19" s="129" t="str">
        <f ca="1"/>
        <v>Anas Bin Mannan</v>
      </c>
      <c r="F19" s="8">
        <f ca="1"/>
        <v>163</v>
      </c>
    </row>
    <row r="20" spans="4:6" ht="72" customHeight="1" x14ac:dyDescent="0.25">
      <c r="D20" s="7">
        <f ca="1"/>
        <v>16</v>
      </c>
      <c r="E20" s="129" t="str">
        <f ca="1"/>
        <v>Iffath Ahmed</v>
      </c>
      <c r="F20" s="8">
        <f ca="1"/>
        <v>151</v>
      </c>
    </row>
    <row r="21" spans="4:6" ht="72" customHeight="1" x14ac:dyDescent="0.25">
      <c r="D21" s="7">
        <f ca="1"/>
        <v>50</v>
      </c>
      <c r="E21" s="129" t="str">
        <f ca="1"/>
        <v>Keyaan Azam</v>
      </c>
      <c r="F21" s="8">
        <f ca="1"/>
        <v>218</v>
      </c>
    </row>
    <row r="22" spans="4:6" ht="72" customHeight="1" x14ac:dyDescent="0.25">
      <c r="D22" s="7"/>
      <c r="E22" s="129"/>
      <c r="F22" s="8"/>
    </row>
    <row r="23" spans="4:6" ht="72" customHeight="1" x14ac:dyDescent="0.25"/>
    <row r="24" spans="4:6" ht="72" customHeight="1" x14ac:dyDescent="0.25"/>
    <row r="25" spans="4:6" ht="72" customHeight="1" x14ac:dyDescent="0.25"/>
    <row r="26" spans="4:6" ht="72" customHeight="1" x14ac:dyDescent="0.25"/>
    <row r="27" spans="4:6" ht="72" customHeight="1" x14ac:dyDescent="0.25"/>
    <row r="28" spans="4:6" ht="72" customHeight="1" x14ac:dyDescent="0.25"/>
    <row r="29" spans="4:6" ht="72" customHeight="1" x14ac:dyDescent="0.25"/>
  </sheetData>
  <mergeCells count="5">
    <mergeCell ref="P1:Q1"/>
    <mergeCell ref="P2:Q2"/>
    <mergeCell ref="M4:R4"/>
    <mergeCell ref="G4:L4"/>
    <mergeCell ref="D3:R3"/>
  </mergeCells>
  <conditionalFormatting sqref="D5:F29">
    <cfRule type="expression" dxfId="131" priority="5">
      <formula>$D5&lt;&gt;""</formula>
    </cfRule>
  </conditionalFormatting>
  <conditionalFormatting sqref="N5:R29">
    <cfRule type="expression" dxfId="130" priority="3">
      <formula>$D5&lt;&gt;""</formula>
    </cfRule>
  </conditionalFormatting>
  <conditionalFormatting sqref="G5:L29">
    <cfRule type="expression" dxfId="129" priority="2">
      <formula>$D5&lt;&gt;""</formula>
    </cfRule>
  </conditionalFormatting>
  <conditionalFormatting sqref="M5:M29">
    <cfRule type="expression" dxfId="128" priority="1">
      <formula>$D5&lt;&gt;""</formula>
    </cfRule>
  </conditionalFormatting>
  <pageMargins left="0.25" right="0.25" top="0.5" bottom="0.25" header="0.25" footer="0.25"/>
  <pageSetup fitToWidth="0" fitToHeight="0" pageOrder="overThenDown" orientation="portrait" r:id="rId1"/>
  <headerFooter>
    <oddHeader xml:space="preserve">&amp;C&amp;"-,Bold Italic"December 2025 &amp;A | Page &amp;P of &amp;N&amp;R&amp;"-,Bold"&amp;10
</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8CFFEAAE-DD03-4C5D-80D0-7B13700B044A}">
          <x14:formula1>
            <xm:f>settings!$G$2:$G$3</xm:f>
          </x14:formula1>
          <xm:sqref>N2</xm:sqref>
        </x14:dataValidation>
        <x14:dataValidation type="list" allowBlank="1" showInputMessage="1" showErrorMessage="1" xr:uid="{4E77D87F-83FC-4450-9711-330B9702B55B}">
          <x14:formula1>
            <xm:f>settings!$F$2:$F$7</xm:f>
          </x14:formula1>
          <xm:sqref>M2</xm:sqref>
        </x14:dataValidation>
        <x14:dataValidation type="list" allowBlank="1" showInputMessage="1" showErrorMessage="1" xr:uid="{99AC7831-960F-4E4C-9BD7-B21694D7F4C3}">
          <x14:formula1>
            <xm:f>settings!$H$2:$H$3</xm:f>
          </x14:formula1>
          <xm:sqref>P2:Q2</xm:sqref>
        </x14:dataValidation>
        <x14:dataValidation type="list" allowBlank="1" showInputMessage="1" showErrorMessage="1" xr:uid="{D7C85A67-4FC9-4953-8171-81060FAD4087}">
          <x14:formula1>
            <xm:f>settings!$I$2:$I$4</xm:f>
          </x14:formula1>
          <xm:sqref>O2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32AED-089F-4845-8B45-C94D8B8930C7}">
  <sheetPr codeName="Sheet11"/>
  <dimension ref="D1:S28"/>
  <sheetViews>
    <sheetView view="pageLayout" zoomScaleNormal="100" workbookViewId="0">
      <selection activeCell="R4" sqref="R4"/>
    </sheetView>
  </sheetViews>
  <sheetFormatPr defaultColWidth="3.140625" defaultRowHeight="18" customHeight="1" x14ac:dyDescent="0.25"/>
  <cols>
    <col min="4" max="4" width="3.140625" style="126"/>
    <col min="5" max="5" width="15.28515625" style="126" customWidth="1"/>
    <col min="6" max="6" width="3.140625" style="130" customWidth="1"/>
    <col min="7" max="18" width="5" customWidth="1"/>
    <col min="19" max="21" width="3.140625" customWidth="1"/>
    <col min="22" max="22" width="16.7109375" customWidth="1"/>
    <col min="23" max="23" width="6.28515625" bestFit="1" customWidth="1"/>
    <col min="24" max="26" width="5" customWidth="1"/>
  </cols>
  <sheetData>
    <row r="1" spans="4:19" ht="10.7" customHeight="1" x14ac:dyDescent="0.25">
      <c r="D1" s="1"/>
      <c r="M1" s="179" t="s">
        <v>37</v>
      </c>
      <c r="N1" s="179" t="s">
        <v>35</v>
      </c>
      <c r="O1" s="179" t="s">
        <v>24</v>
      </c>
      <c r="P1" s="253" t="s">
        <v>1126</v>
      </c>
      <c r="Q1" s="253"/>
      <c r="R1" s="134" t="s">
        <v>1127</v>
      </c>
    </row>
    <row r="2" spans="4:19" s="2" customFormat="1" ht="10.7" customHeight="1" x14ac:dyDescent="0.25">
      <c r="D2" s="131" t="str" cm="1">
        <f t="array" ref="D2">"Teacher: " &amp; IFERROR(
  INDEX(teachersetting[Teacher],
    MATCH(1,
      (teachersetting[Level]=M2) *
      (teachersetting[Gender]=N2) *
      (teachersetting[Shift]=P2),
    0)
  ), ""
)</f>
        <v>Teacher: MD Ahmedur Rahman</v>
      </c>
      <c r="E2" s="127"/>
      <c r="F2" s="127"/>
      <c r="G2" s="122"/>
      <c r="H2" s="122"/>
      <c r="I2" s="122"/>
      <c r="J2" s="122"/>
      <c r="K2" s="122"/>
      <c r="L2" s="122"/>
      <c r="M2" s="180" t="s">
        <v>142</v>
      </c>
      <c r="N2" s="180" t="s">
        <v>46</v>
      </c>
      <c r="O2" s="180"/>
      <c r="P2" s="254" t="s">
        <v>1128</v>
      </c>
      <c r="Q2" s="254"/>
      <c r="R2" s="180">
        <v>2025</v>
      </c>
    </row>
    <row r="3" spans="4:19" ht="90" customHeight="1" x14ac:dyDescent="0.25">
      <c r="D3" s="128" t="s">
        <v>1129</v>
      </c>
      <c r="E3" s="128" t="s">
        <v>17</v>
      </c>
      <c r="F3" s="132" t="s">
        <v>18</v>
      </c>
      <c r="G3" s="123" t="s">
        <v>1316</v>
      </c>
      <c r="H3" s="123" t="s">
        <v>1232</v>
      </c>
      <c r="I3" s="123" t="s">
        <v>1233</v>
      </c>
      <c r="J3" s="123" t="s">
        <v>1234</v>
      </c>
      <c r="K3" s="123" t="s">
        <v>1235</v>
      </c>
      <c r="L3" s="124" t="s">
        <v>1317</v>
      </c>
      <c r="M3" s="255" t="s">
        <v>1318</v>
      </c>
      <c r="N3" s="263"/>
      <c r="O3" s="263"/>
      <c r="P3" s="263"/>
      <c r="Q3" s="263"/>
      <c r="R3" s="263"/>
      <c r="S3" s="125"/>
    </row>
    <row r="4" spans="4:19" ht="72" customHeight="1" x14ac:dyDescent="0.25">
      <c r="D4" s="129" cm="1">
        <f t="array" aca="1" ref="D4:F16" ca="1">IF(
  _xlfn._xlws.SORT(
    _xlfn._xlws.FILTER(
      CHOOSE({1,2,3},
        INDIRECT("studentdata["&amp;P2&amp;" "&amp;R2&amp;"]"),
        studentdata[Name],
        studentdata[RG]
      ),
      (
        (M2&lt;&gt;"") * (studentdata[Level]=M2) +
        (M2="") * 1
      ) *
      (
        (O2&lt;&gt;"") * (studentdata[Group]=O2) +
        (O2="") * 1
      ) *
      (
        (P2&lt;&gt;"") * (INDIRECT("studentdata["&amp;P2&amp;" "&amp;R2&amp;"]")&lt;&gt;"") +
        (P2="") * 1
      ) *
      (
        (N2&lt;&gt;"") * (studentdata[Gender]=N2) +
        (N2="") * 1
      )
    ),
    1,
    TRUE
  ) = 0,
  "",
  _xlfn._xlws.SORT(
    _xlfn._xlws.FILTER(
      CHOOSE({1,2,3},
        INDIRECT("studentdata["&amp;P2&amp;" "&amp;R2&amp;"]"),
        studentdata[Name],
        studentdata[RG]
      ),
      (
        (M2&lt;&gt;"") * (studentdata[Level]=M2) +
        (M2="") * 1
      ) *
      (
        (O2&lt;&gt;"") * (studentdata[Group]=O2) +
        (O2="") * 1
      ) *
      (
        (P2&lt;&gt;"") * (INDIRECT("studentdata["&amp;P2&amp;" "&amp;R2&amp;"]")&lt;&gt;"") +
        (P2="") * 1
      ) *
      (
        (N2&lt;&gt;"") * (studentdata[Gender]=N2) +
        (N2="") * 1
      )
    ),
    1,
    TRUE
  )
)</f>
        <v>1</v>
      </c>
      <c r="E4" s="129" t="str">
        <f ca="1"/>
        <v>Omar Rahim Ahmed</v>
      </c>
      <c r="F4" s="137">
        <f ca="1"/>
        <v>32</v>
      </c>
    </row>
    <row r="5" spans="4:19" ht="72" customHeight="1" x14ac:dyDescent="0.25">
      <c r="D5" s="129">
        <f ca="1"/>
        <v>3</v>
      </c>
      <c r="E5" s="129" t="str">
        <f ca="1"/>
        <v>Afraz Alamgir</v>
      </c>
      <c r="F5" s="137">
        <f ca="1"/>
        <v>74</v>
      </c>
    </row>
    <row r="6" spans="4:19" ht="72" customHeight="1" x14ac:dyDescent="0.25">
      <c r="D6" s="129">
        <f ca="1"/>
        <v>4</v>
      </c>
      <c r="E6" s="129" t="str">
        <f ca="1"/>
        <v>Aryan Alamgir</v>
      </c>
      <c r="F6" s="137">
        <f ca="1"/>
        <v>74</v>
      </c>
    </row>
    <row r="7" spans="4:19" ht="72" customHeight="1" x14ac:dyDescent="0.25">
      <c r="D7" s="129">
        <f ca="1"/>
        <v>5</v>
      </c>
      <c r="E7" s="129" t="str">
        <f ca="1"/>
        <v>RAQIB HASAN</v>
      </c>
      <c r="F7" s="137">
        <f ca="1"/>
        <v>182</v>
      </c>
    </row>
    <row r="8" spans="4:19" ht="72" customHeight="1" x14ac:dyDescent="0.25">
      <c r="D8" s="129">
        <f ca="1"/>
        <v>6</v>
      </c>
      <c r="E8" s="129" t="str">
        <f ca="1"/>
        <v>Faizan Rahman</v>
      </c>
      <c r="F8" s="137">
        <f ca="1"/>
        <v>171</v>
      </c>
    </row>
    <row r="9" spans="4:19" ht="72" customHeight="1" x14ac:dyDescent="0.25">
      <c r="D9" s="129">
        <f ca="1"/>
        <v>7</v>
      </c>
      <c r="E9" s="129" t="str">
        <f ca="1"/>
        <v>Yusuf Zulkarnine</v>
      </c>
      <c r="F9" s="137">
        <f ca="1"/>
        <v>73</v>
      </c>
    </row>
    <row r="10" spans="4:19" ht="72" customHeight="1" x14ac:dyDescent="0.25">
      <c r="D10" s="129">
        <f ca="1"/>
        <v>8</v>
      </c>
      <c r="E10" s="129" t="str">
        <f ca="1"/>
        <v>Taaraz Hussain Lodi</v>
      </c>
      <c r="F10" s="137">
        <f ca="1"/>
        <v>16</v>
      </c>
    </row>
    <row r="11" spans="4:19" ht="72" customHeight="1" x14ac:dyDescent="0.25">
      <c r="D11" s="129">
        <f ca="1"/>
        <v>9</v>
      </c>
      <c r="E11" s="129" t="str">
        <f ca="1"/>
        <v>Ehaan Hussain</v>
      </c>
      <c r="F11" s="137">
        <f ca="1"/>
        <v>53</v>
      </c>
    </row>
    <row r="12" spans="4:19" ht="72" customHeight="1" x14ac:dyDescent="0.25">
      <c r="D12" s="129">
        <f ca="1"/>
        <v>10</v>
      </c>
      <c r="E12" s="129" t="str">
        <f ca="1"/>
        <v>Ahiyan Hussain</v>
      </c>
      <c r="F12" s="137">
        <f ca="1"/>
        <v>190</v>
      </c>
    </row>
    <row r="13" spans="4:19" ht="72" customHeight="1" x14ac:dyDescent="0.25">
      <c r="D13" s="129">
        <f ca="1"/>
        <v>11</v>
      </c>
      <c r="E13" s="129" t="str">
        <f ca="1"/>
        <v>Aryan Ahmed Khan</v>
      </c>
      <c r="F13" s="137">
        <f ca="1"/>
        <v>69</v>
      </c>
    </row>
    <row r="14" spans="4:19" ht="72" customHeight="1" x14ac:dyDescent="0.25">
      <c r="D14" s="129">
        <f ca="1"/>
        <v>12</v>
      </c>
      <c r="E14" s="129" t="str">
        <f ca="1"/>
        <v>Mahdi Haque</v>
      </c>
      <c r="F14" s="137">
        <f ca="1"/>
        <v>81</v>
      </c>
    </row>
    <row r="15" spans="4:19" ht="72" customHeight="1" x14ac:dyDescent="0.25">
      <c r="D15" s="129">
        <f ca="1"/>
        <v>14</v>
      </c>
      <c r="E15" s="129" t="str">
        <f ca="1"/>
        <v>Ismael Bah</v>
      </c>
      <c r="F15" s="137">
        <f ca="1"/>
        <v>209</v>
      </c>
    </row>
    <row r="16" spans="4:19" ht="72" customHeight="1" x14ac:dyDescent="0.25">
      <c r="D16" s="7">
        <f ca="1"/>
        <v>50</v>
      </c>
      <c r="E16" s="129" t="str">
        <f ca="1"/>
        <v>Abdullah Al Ruhan</v>
      </c>
      <c r="F16" s="138">
        <f ca="1"/>
        <v>216</v>
      </c>
    </row>
    <row r="17" spans="4:6" ht="72" customHeight="1" x14ac:dyDescent="0.25">
      <c r="D17" s="7"/>
      <c r="E17" s="129"/>
      <c r="F17" s="138"/>
    </row>
    <row r="18" spans="4:6" ht="72" customHeight="1" x14ac:dyDescent="0.25">
      <c r="D18" s="7"/>
      <c r="E18" s="129"/>
      <c r="F18" s="138"/>
    </row>
    <row r="19" spans="4:6" ht="72" customHeight="1" x14ac:dyDescent="0.25">
      <c r="D19" s="7"/>
      <c r="E19" s="129"/>
      <c r="F19" s="138"/>
    </row>
    <row r="20" spans="4:6" ht="72" customHeight="1" x14ac:dyDescent="0.25">
      <c r="D20" s="7"/>
      <c r="E20" s="129"/>
      <c r="F20" s="138"/>
    </row>
    <row r="21" spans="4:6" ht="72" customHeight="1" x14ac:dyDescent="0.25">
      <c r="D21" s="7"/>
      <c r="E21" s="129"/>
      <c r="F21" s="138"/>
    </row>
    <row r="22" spans="4:6" ht="72" customHeight="1" x14ac:dyDescent="0.25">
      <c r="F22" s="139"/>
    </row>
    <row r="23" spans="4:6" ht="72" customHeight="1" x14ac:dyDescent="0.25">
      <c r="F23" s="139"/>
    </row>
    <row r="24" spans="4:6" ht="72" customHeight="1" x14ac:dyDescent="0.25">
      <c r="F24" s="139"/>
    </row>
    <row r="25" spans="4:6" ht="72" customHeight="1" x14ac:dyDescent="0.25">
      <c r="F25" s="139"/>
    </row>
    <row r="26" spans="4:6" ht="72" customHeight="1" x14ac:dyDescent="0.25">
      <c r="F26" s="139"/>
    </row>
    <row r="27" spans="4:6" ht="72" customHeight="1" x14ac:dyDescent="0.25">
      <c r="F27" s="139"/>
    </row>
    <row r="28" spans="4:6" ht="72" customHeight="1" x14ac:dyDescent="0.25">
      <c r="F28" s="139"/>
    </row>
  </sheetData>
  <mergeCells count="3">
    <mergeCell ref="M3:R3"/>
    <mergeCell ref="P1:Q1"/>
    <mergeCell ref="P2:Q2"/>
  </mergeCells>
  <conditionalFormatting sqref="D4:L28">
    <cfRule type="expression" dxfId="127" priority="2">
      <formula>$D4&lt;&gt;""</formula>
    </cfRule>
  </conditionalFormatting>
  <conditionalFormatting sqref="M4:R28">
    <cfRule type="expression" dxfId="126" priority="1">
      <formula>$D4&lt;&gt;""</formula>
    </cfRule>
  </conditionalFormatting>
  <pageMargins left="0.25" right="0.25" top="0.5" bottom="0.25" header="0.25" footer="0.25"/>
  <pageSetup fitToWidth="0" fitToHeight="0" orientation="portrait" r:id="rId1"/>
  <headerFooter>
    <oddHeader xml:space="preserve">&amp;C&amp;"-,Bold Italic"December 2025 &amp;A | Page &amp;P of &amp;N&amp;R&amp;"-,Bold"&amp;10
</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3CCEDDD1-F6F8-4B01-93A1-535D8A8D5D43}">
          <x14:formula1>
            <xm:f>settings!$I$2:$I$4</xm:f>
          </x14:formula1>
          <xm:sqref>O2</xm:sqref>
        </x14:dataValidation>
        <x14:dataValidation type="list" allowBlank="1" showInputMessage="1" showErrorMessage="1" xr:uid="{50334D0A-BEE5-4B1D-A73F-460A6EE85BF3}">
          <x14:formula1>
            <xm:f>settings!$H$2:$H$3</xm:f>
          </x14:formula1>
          <xm:sqref>P2:Q2</xm:sqref>
        </x14:dataValidation>
        <x14:dataValidation type="list" allowBlank="1" showInputMessage="1" showErrorMessage="1" xr:uid="{3F94A27E-7084-4DB2-8694-C5D070FC5485}">
          <x14:formula1>
            <xm:f>settings!$F$2:$F$8</xm:f>
          </x14:formula1>
          <xm:sqref>M2</xm:sqref>
        </x14:dataValidation>
        <x14:dataValidation type="list" allowBlank="1" showInputMessage="1" showErrorMessage="1" xr:uid="{DA8721DB-161A-4E61-A8D1-57F4EDC18251}">
          <x14:formula1>
            <xm:f>settings!$G$2:$G$3</xm:f>
          </x14:formula1>
          <xm:sqref>N2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84A48-B6FF-4505-9C71-1E26EC09E939}">
  <sheetPr codeName="Sheet9"/>
  <dimension ref="A1:E33"/>
  <sheetViews>
    <sheetView workbookViewId="0"/>
  </sheetViews>
  <sheetFormatPr defaultColWidth="3.85546875" defaultRowHeight="30.2" customHeight="1" x14ac:dyDescent="0.5"/>
  <cols>
    <col min="1" max="1" width="4.5703125" style="18" customWidth="1"/>
    <col min="2" max="2" width="68.42578125" style="22" customWidth="1"/>
    <col min="3" max="3" width="12.5703125" style="27" customWidth="1"/>
    <col min="4" max="4" width="12.5703125" customWidth="1"/>
    <col min="5" max="5" width="14.42578125" style="9" customWidth="1"/>
  </cols>
  <sheetData>
    <row r="1" spans="1:5" s="2" customFormat="1" ht="18" customHeight="1" x14ac:dyDescent="0.25">
      <c r="A1" s="171" t="s">
        <v>1128</v>
      </c>
      <c r="B1" s="19"/>
      <c r="C1" s="23" t="s">
        <v>56</v>
      </c>
      <c r="D1" s="172"/>
      <c r="E1" s="173" t="s">
        <v>48</v>
      </c>
    </row>
    <row r="2" spans="1:5" s="2" customFormat="1" ht="18" customHeight="1" x14ac:dyDescent="0.25">
      <c r="A2" s="264" t="s">
        <v>1129</v>
      </c>
      <c r="B2" s="264" t="s">
        <v>17</v>
      </c>
      <c r="C2" s="264" t="s">
        <v>18</v>
      </c>
      <c r="D2" s="264" t="s">
        <v>1130</v>
      </c>
      <c r="E2" s="264" t="s">
        <v>20</v>
      </c>
    </row>
    <row r="3" spans="1:5" ht="15" customHeight="1" x14ac:dyDescent="0.25">
      <c r="A3" s="264"/>
      <c r="B3" s="264"/>
      <c r="C3" s="264"/>
      <c r="D3" s="264"/>
      <c r="E3" s="264"/>
    </row>
    <row r="4" spans="1:5" ht="51" customHeight="1" x14ac:dyDescent="0.25">
      <c r="A4" s="176" t="e" cm="1" vm="2">
        <f t="array" ref="A4">_xlfn._xlws.SORT(
  _xlfn._xlws.FILTER(
    CHOOSE({1,2,3,4,5},#REF!,
      studentdata[Name],
      studentdata[RG],
      studentdata[Father Name],
studentdata[Father Phone]
),
    (studentdata[Level]=E1) *
    (studentdata[Weekend 2025]=A1) *
    (
      (studentdata[Gender]=D1) +
      (IF(C1&lt;&gt;"", studentdata[Gender]=C1, FALSE))
    )
  ),
  1,
  TRUE
)</f>
        <v>#VALUE!</v>
      </c>
      <c r="B4" s="20"/>
      <c r="C4" s="24"/>
      <c r="D4" s="15"/>
      <c r="E4" s="175"/>
    </row>
    <row r="5" spans="1:5" ht="51" customHeight="1" x14ac:dyDescent="0.25">
      <c r="A5" s="176"/>
      <c r="B5" s="20"/>
      <c r="C5" s="24"/>
      <c r="D5" s="15"/>
      <c r="E5" s="175"/>
    </row>
    <row r="6" spans="1:5" ht="51" customHeight="1" x14ac:dyDescent="0.25">
      <c r="A6" s="176"/>
      <c r="B6" s="20"/>
      <c r="C6" s="24"/>
      <c r="D6" s="15"/>
      <c r="E6" s="175"/>
    </row>
    <row r="7" spans="1:5" ht="51" customHeight="1" x14ac:dyDescent="0.25">
      <c r="A7" s="176"/>
      <c r="B7" s="20"/>
      <c r="C7" s="24"/>
      <c r="D7" s="15"/>
      <c r="E7" s="175"/>
    </row>
    <row r="8" spans="1:5" ht="51" customHeight="1" x14ac:dyDescent="0.25">
      <c r="A8" s="176"/>
      <c r="B8" s="20"/>
      <c r="C8" s="24"/>
      <c r="D8" s="15"/>
      <c r="E8" s="175"/>
    </row>
    <row r="9" spans="1:5" ht="51" customHeight="1" x14ac:dyDescent="0.25">
      <c r="A9" s="176"/>
      <c r="B9" s="20"/>
      <c r="C9" s="24"/>
      <c r="D9" s="15"/>
      <c r="E9" s="175"/>
    </row>
    <row r="10" spans="1:5" ht="51" customHeight="1" x14ac:dyDescent="0.25">
      <c r="A10" s="176"/>
      <c r="B10" s="20"/>
      <c r="C10" s="24"/>
      <c r="D10" s="15"/>
      <c r="E10" s="175"/>
    </row>
    <row r="11" spans="1:5" ht="51" customHeight="1" x14ac:dyDescent="0.25">
      <c r="A11" s="176"/>
      <c r="B11" s="20"/>
      <c r="C11" s="24"/>
      <c r="D11" s="15"/>
      <c r="E11" s="175"/>
    </row>
    <row r="12" spans="1:5" ht="51" customHeight="1" x14ac:dyDescent="0.25">
      <c r="A12" s="176"/>
      <c r="B12" s="20"/>
      <c r="C12" s="24"/>
      <c r="D12" s="15"/>
      <c r="E12" s="175"/>
    </row>
    <row r="13" spans="1:5" ht="51" customHeight="1" x14ac:dyDescent="0.25">
      <c r="A13" s="176"/>
      <c r="B13" s="20"/>
      <c r="C13" s="24"/>
      <c r="D13" s="15"/>
      <c r="E13" s="175"/>
    </row>
    <row r="14" spans="1:5" ht="51" customHeight="1" x14ac:dyDescent="0.25">
      <c r="A14" s="176"/>
      <c r="B14" s="20"/>
      <c r="C14" s="24"/>
      <c r="D14" s="15"/>
      <c r="E14" s="175"/>
    </row>
    <row r="15" spans="1:5" ht="51" customHeight="1" x14ac:dyDescent="0.25">
      <c r="A15" s="176"/>
      <c r="B15" s="20"/>
      <c r="C15" s="24"/>
      <c r="D15" s="15"/>
      <c r="E15" s="175"/>
    </row>
    <row r="16" spans="1:5" ht="51" customHeight="1" x14ac:dyDescent="0.25">
      <c r="A16" s="176"/>
      <c r="B16" s="20"/>
      <c r="C16" s="24"/>
      <c r="D16" s="15"/>
      <c r="E16" s="175"/>
    </row>
    <row r="17" spans="1:5" ht="51" customHeight="1" x14ac:dyDescent="0.25">
      <c r="A17" s="176"/>
      <c r="B17" s="20"/>
      <c r="C17" s="24"/>
      <c r="D17" s="15"/>
      <c r="E17" s="175"/>
    </row>
    <row r="18" spans="1:5" ht="51" customHeight="1" x14ac:dyDescent="0.25">
      <c r="A18" s="176"/>
      <c r="B18" s="20"/>
      <c r="C18" s="24"/>
      <c r="D18" s="15"/>
      <c r="E18" s="175"/>
    </row>
    <row r="19" spans="1:5" ht="51" customHeight="1" x14ac:dyDescent="0.25">
      <c r="A19" s="176"/>
      <c r="B19" s="20"/>
      <c r="C19" s="24"/>
      <c r="D19" s="15"/>
      <c r="E19" s="175"/>
    </row>
    <row r="20" spans="1:5" ht="51" customHeight="1" x14ac:dyDescent="0.25">
      <c r="A20" s="176"/>
      <c r="B20" s="20"/>
      <c r="C20" s="24"/>
      <c r="D20" s="15"/>
      <c r="E20" s="175"/>
    </row>
    <row r="21" spans="1:5" ht="51" customHeight="1" x14ac:dyDescent="0.25">
      <c r="A21" s="176"/>
      <c r="B21" s="20"/>
      <c r="C21" s="24"/>
      <c r="D21" s="15"/>
      <c r="E21" s="175"/>
    </row>
    <row r="22" spans="1:5" ht="51" customHeight="1" x14ac:dyDescent="0.25">
      <c r="A22" s="176"/>
      <c r="B22" s="20"/>
      <c r="C22" s="24"/>
      <c r="D22" s="15"/>
      <c r="E22" s="175"/>
    </row>
    <row r="23" spans="1:5" ht="51" customHeight="1" x14ac:dyDescent="0.25">
      <c r="A23" s="176"/>
      <c r="B23" s="20"/>
      <c r="C23" s="24"/>
      <c r="D23" s="15"/>
      <c r="E23" s="149"/>
    </row>
    <row r="24" spans="1:5" ht="51" customHeight="1" x14ac:dyDescent="0.25">
      <c r="A24" s="176"/>
      <c r="B24" s="20"/>
      <c r="C24" s="25"/>
      <c r="D24" s="15"/>
      <c r="E24" s="149"/>
    </row>
    <row r="25" spans="1:5" ht="51" customHeight="1" x14ac:dyDescent="0.25">
      <c r="A25" s="176"/>
      <c r="B25" s="20"/>
      <c r="C25" s="25"/>
      <c r="D25" s="15"/>
      <c r="E25" s="149"/>
    </row>
    <row r="26" spans="1:5" ht="51" customHeight="1" x14ac:dyDescent="0.25">
      <c r="A26" s="176"/>
      <c r="B26" s="20"/>
      <c r="C26" s="25"/>
      <c r="D26" s="15"/>
      <c r="E26" s="149"/>
    </row>
    <row r="27" spans="1:5" ht="51" customHeight="1" x14ac:dyDescent="0.25">
      <c r="A27" s="176"/>
      <c r="B27" s="20"/>
      <c r="C27" s="25"/>
      <c r="D27" s="15"/>
      <c r="E27" s="149"/>
    </row>
    <row r="28" spans="1:5" ht="51" customHeight="1" x14ac:dyDescent="0.25">
      <c r="A28" s="176"/>
      <c r="B28" s="20"/>
      <c r="C28" s="25"/>
      <c r="D28" s="15"/>
      <c r="E28" s="149"/>
    </row>
    <row r="29" spans="1:5" ht="51" customHeight="1" x14ac:dyDescent="0.5">
      <c r="A29" s="17"/>
      <c r="B29" s="21"/>
      <c r="C29" s="26"/>
      <c r="D29" s="5"/>
      <c r="E29" s="16"/>
    </row>
    <row r="30" spans="1:5" ht="51" customHeight="1" x14ac:dyDescent="0.5">
      <c r="A30" s="17"/>
      <c r="B30" s="21"/>
      <c r="C30" s="26"/>
      <c r="D30" s="5"/>
      <c r="E30" s="16"/>
    </row>
    <row r="31" spans="1:5" ht="51" customHeight="1" x14ac:dyDescent="0.5">
      <c r="A31" s="17"/>
      <c r="B31" s="21"/>
      <c r="C31" s="26"/>
      <c r="D31" s="5"/>
      <c r="E31" s="16"/>
    </row>
    <row r="32" spans="1:5" ht="51" customHeight="1" x14ac:dyDescent="0.5">
      <c r="A32" s="17"/>
      <c r="B32" s="21"/>
      <c r="C32" s="26"/>
      <c r="D32" s="5"/>
      <c r="E32" s="16"/>
    </row>
    <row r="33" spans="1:5" ht="51" customHeight="1" x14ac:dyDescent="0.5">
      <c r="A33" s="17"/>
      <c r="B33" s="21"/>
      <c r="C33" s="26"/>
      <c r="D33" s="5"/>
      <c r="E33" s="16"/>
    </row>
  </sheetData>
  <mergeCells count="5">
    <mergeCell ref="B2:B3"/>
    <mergeCell ref="A2:A3"/>
    <mergeCell ref="E2:E3"/>
    <mergeCell ref="D2:D3"/>
    <mergeCell ref="C2:C3"/>
  </mergeCells>
  <printOptions horizontalCentered="1"/>
  <pageMargins left="0.25" right="0.25" top="0.55397727272727304" bottom="0.41856060606060602" header="0.25" footer="0.25"/>
  <pageSetup scale="90" fitToWidth="0" fitToHeight="0" orientation="portrait" r:id="rId1"/>
  <headerFooter>
    <oddHeader>&amp;L&amp;"-,Bold"&amp;16IQRA ACADEMY OF MICHIGAN&amp;R&amp;"-,Bold"&amp;16Page &amp;P of &amp;N</oddHeader>
  </headerFooter>
  <extLst>
    <ext xmlns:x14="http://schemas.microsoft.com/office/spreadsheetml/2009/9/main" uri="{CCE6A557-97BC-4b89-ADB6-D9C93CAAB3DF}">
      <x14:dataValidations xmlns:xm="http://schemas.microsoft.com/office/excel/2006/main" count="3">
        <x14:dataValidation type="list" allowBlank="1" showInputMessage="1" showErrorMessage="1" xr:uid="{66E3D815-1DF2-410C-8343-1CC3F5E4CE9C}">
          <x14:formula1>
            <xm:f>settings!$H:$H</xm:f>
          </x14:formula1>
          <xm:sqref>A1</xm:sqref>
        </x14:dataValidation>
        <x14:dataValidation type="list" allowBlank="1" showInputMessage="1" showErrorMessage="1" xr:uid="{179D5372-0C93-4401-83FD-DBFC09361E4B}">
          <x14:formula1>
            <xm:f>settings!$F:$F</xm:f>
          </x14:formula1>
          <xm:sqref>E1</xm:sqref>
        </x14:dataValidation>
        <x14:dataValidation type="list" allowBlank="1" showInputMessage="1" showErrorMessage="1" xr:uid="{B6EE1C89-0BD3-449C-BF25-4610ED341370}">
          <x14:formula1>
            <xm:f>settings!$G:$G</xm:f>
          </x14:formula1>
          <xm:sqref>C1:D1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9D076-88E9-489A-BE4B-9CB058050055}">
  <sheetPr codeName="Sheet18">
    <tabColor rgb="FFFFC000"/>
  </sheetPr>
  <dimension ref="A1:BL17"/>
  <sheetViews>
    <sheetView view="pageLayout" zoomScale="70" zoomScaleNormal="100" zoomScalePageLayoutView="70" workbookViewId="0">
      <selection activeCell="W5" sqref="W5:AJ17"/>
    </sheetView>
  </sheetViews>
  <sheetFormatPr defaultColWidth="31" defaultRowHeight="36" customHeight="1" x14ac:dyDescent="0.25"/>
  <cols>
    <col min="1" max="1" width="3.140625" style="79" customWidth="1"/>
    <col min="2" max="17" width="3.140625" style="67" customWidth="1"/>
    <col min="18" max="18" width="3.140625" style="80" customWidth="1"/>
    <col min="19" max="21" width="3.140625" style="85" customWidth="1"/>
    <col min="22" max="22" width="3.140625" style="79" customWidth="1"/>
    <col min="23" max="38" width="3.140625" style="67" customWidth="1"/>
    <col min="39" max="39" width="3.140625" style="80" customWidth="1"/>
    <col min="40" max="43" width="3.140625" style="67" customWidth="1"/>
    <col min="44" max="44" width="12.7109375" style="67" customWidth="1"/>
    <col min="45" max="45" width="2" style="67" bestFit="1" customWidth="1"/>
    <col min="46" max="46" width="12.7109375" style="67" customWidth="1"/>
    <col min="47" max="16384" width="31" style="67"/>
  </cols>
  <sheetData>
    <row r="1" spans="1:64" ht="18" customHeight="1" x14ac:dyDescent="0.25">
      <c r="A1" s="77"/>
      <c r="B1" s="68"/>
      <c r="C1" s="68"/>
      <c r="D1" s="68"/>
      <c r="E1" s="68"/>
      <c r="F1" s="68"/>
      <c r="G1" s="68"/>
      <c r="H1" s="68"/>
      <c r="I1" s="68"/>
      <c r="J1" s="68"/>
      <c r="K1" s="68"/>
      <c r="L1" s="68"/>
      <c r="M1" s="68"/>
      <c r="N1" s="68"/>
      <c r="O1" s="68"/>
      <c r="P1" s="68"/>
      <c r="Q1" s="68"/>
      <c r="S1" s="84"/>
      <c r="T1" s="84"/>
      <c r="U1" s="84"/>
      <c r="V1" s="77"/>
      <c r="W1" s="68"/>
      <c r="X1" s="68"/>
      <c r="Y1" s="68"/>
      <c r="Z1" s="68"/>
      <c r="AA1" s="68"/>
      <c r="AB1" s="68"/>
      <c r="AC1" s="68"/>
      <c r="AD1" s="68"/>
      <c r="AE1" s="68"/>
      <c r="AF1" s="68"/>
      <c r="AG1" s="68"/>
      <c r="AH1" s="68"/>
      <c r="AI1" s="68"/>
      <c r="AJ1" s="68"/>
      <c r="AK1" s="68"/>
      <c r="AL1" s="68"/>
      <c r="AN1" s="68"/>
      <c r="AO1" s="68"/>
      <c r="AP1" s="68"/>
      <c r="AR1" s="87"/>
      <c r="AY1" s="85"/>
      <c r="AZ1" s="85"/>
      <c r="BA1" s="85"/>
      <c r="BB1" s="85"/>
    </row>
    <row r="2" spans="1:64" ht="18" customHeight="1" x14ac:dyDescent="0.25">
      <c r="A2" s="77"/>
      <c r="B2" s="68"/>
      <c r="C2" s="68"/>
      <c r="D2" s="68"/>
      <c r="E2" s="68"/>
      <c r="F2" s="68"/>
      <c r="G2" s="68"/>
      <c r="H2" s="68"/>
      <c r="I2" s="68"/>
      <c r="J2" s="68"/>
      <c r="K2" s="68"/>
      <c r="L2" s="68"/>
      <c r="M2" s="68"/>
      <c r="N2" s="68"/>
      <c r="O2" s="68"/>
      <c r="P2" s="68"/>
      <c r="Q2" s="68"/>
      <c r="S2" s="84"/>
      <c r="T2" s="84"/>
      <c r="U2" s="84"/>
      <c r="V2" s="77"/>
      <c r="W2" s="68"/>
      <c r="X2" s="68"/>
      <c r="Y2" s="68"/>
      <c r="Z2" s="68"/>
      <c r="AA2" s="68"/>
      <c r="AB2" s="68"/>
      <c r="AC2" s="68"/>
      <c r="AD2" s="68"/>
      <c r="AE2" s="68"/>
      <c r="AF2" s="68"/>
      <c r="AG2" s="68"/>
      <c r="AH2" s="68"/>
      <c r="AI2" s="68"/>
      <c r="AJ2" s="68"/>
      <c r="AK2" s="68"/>
      <c r="AL2" s="68"/>
      <c r="AN2" s="68"/>
      <c r="AO2" s="68"/>
      <c r="AP2" s="68"/>
      <c r="BB2" s="85"/>
      <c r="BC2" s="85"/>
      <c r="BD2" s="85"/>
      <c r="BE2" s="85"/>
      <c r="BF2" s="85"/>
      <c r="BG2" s="85"/>
      <c r="BH2" s="85"/>
      <c r="BI2" s="85"/>
      <c r="BJ2" s="85"/>
      <c r="BK2" s="85"/>
      <c r="BL2" s="85"/>
    </row>
    <row r="3" spans="1:64" ht="18" customHeight="1" x14ac:dyDescent="0.25">
      <c r="A3" s="87"/>
      <c r="B3" s="68"/>
      <c r="C3" s="68"/>
      <c r="D3" s="68"/>
      <c r="E3" s="68"/>
      <c r="F3" s="68"/>
      <c r="G3" s="68"/>
      <c r="H3" s="68"/>
      <c r="I3" s="68"/>
      <c r="J3" s="68"/>
      <c r="K3" s="68"/>
      <c r="L3" s="68"/>
      <c r="M3" s="68"/>
      <c r="N3" s="68"/>
      <c r="O3" s="68"/>
      <c r="P3" s="68"/>
      <c r="Q3" s="68"/>
      <c r="S3" s="84"/>
      <c r="T3" s="84"/>
      <c r="U3" s="84"/>
      <c r="V3" s="87"/>
      <c r="W3" s="68"/>
      <c r="X3" s="68"/>
      <c r="Y3" s="68"/>
      <c r="Z3" s="68"/>
      <c r="AA3" s="68"/>
      <c r="AB3" s="68"/>
      <c r="AC3" s="68"/>
      <c r="AD3" s="68"/>
      <c r="AE3" s="68"/>
      <c r="AF3" s="68"/>
      <c r="AG3" s="68"/>
      <c r="AH3" s="68"/>
      <c r="AI3" s="68"/>
      <c r="AJ3" s="68"/>
      <c r="AK3" s="68"/>
      <c r="AL3" s="68"/>
      <c r="AN3" s="68"/>
      <c r="AO3" s="68"/>
      <c r="AP3" s="68"/>
    </row>
    <row r="4" spans="1:64" ht="36" customHeight="1" x14ac:dyDescent="0.25">
      <c r="A4" s="163"/>
      <c r="B4" s="276" t="s">
        <v>1297</v>
      </c>
      <c r="C4" s="277"/>
      <c r="D4" s="277"/>
      <c r="E4" s="277"/>
      <c r="F4" s="277"/>
      <c r="G4" s="277"/>
      <c r="H4" s="277"/>
      <c r="I4" s="278" t="s">
        <v>1299</v>
      </c>
      <c r="J4" s="278"/>
      <c r="K4" s="278"/>
      <c r="L4" s="278"/>
      <c r="M4" s="278"/>
      <c r="N4" s="278"/>
      <c r="O4" s="278"/>
      <c r="P4" s="275"/>
      <c r="Q4" s="275"/>
      <c r="R4" s="275"/>
      <c r="S4" s="273" t="s">
        <v>1300</v>
      </c>
      <c r="T4" s="273"/>
      <c r="U4" s="273"/>
      <c r="V4" s="163"/>
      <c r="W4" s="276" t="s">
        <v>1297</v>
      </c>
      <c r="X4" s="277"/>
      <c r="Y4" s="277"/>
      <c r="Z4" s="277"/>
      <c r="AA4" s="277"/>
      <c r="AB4" s="277"/>
      <c r="AC4" s="277"/>
      <c r="AD4" s="278" t="s">
        <v>1299</v>
      </c>
      <c r="AE4" s="278"/>
      <c r="AF4" s="278"/>
      <c r="AG4" s="278"/>
      <c r="AH4" s="278"/>
      <c r="AI4" s="278"/>
      <c r="AJ4" s="278"/>
      <c r="AK4" s="275"/>
      <c r="AL4" s="275"/>
      <c r="AM4" s="275"/>
      <c r="AN4" s="273" t="s">
        <v>1300</v>
      </c>
      <c r="AO4" s="273"/>
      <c r="AP4" s="273"/>
      <c r="AQ4" s="85"/>
    </row>
    <row r="5" spans="1:64" ht="36" customHeight="1" x14ac:dyDescent="0.25">
      <c r="A5" s="162" cm="1">
        <f t="array" ref="A5:A17">_xlfn._xlws.FILTER(
    _xlfn.SEQUENCE(AT5-AR5+1,,AR5),
    IF(
        AU5="Weekend",
        WEEKDAY(_xlfn.SEQUENCE(AT5-AR5+1,,AR5),2)&gt;5,
        IF(
            AU5="Weekday",
            WEEKDAY(_xlfn.SEQUENCE(AT5-AR5+1,,AR5),2)&lt;6,
            IF(
                AU5="Evening",
                WEEKDAY(_xlfn.SEQUENCE(AT5-AR5+1,,AR5),2)&lt;=4,
                TRUE
            )
        )
    )
)</f>
        <v>46082</v>
      </c>
      <c r="B5" s="269"/>
      <c r="C5" s="270"/>
      <c r="D5" s="270"/>
      <c r="E5" s="270"/>
      <c r="F5" s="270"/>
      <c r="G5" s="270"/>
      <c r="H5" s="270"/>
      <c r="I5" s="270"/>
      <c r="J5" s="270"/>
      <c r="K5" s="270"/>
      <c r="L5" s="270"/>
      <c r="M5" s="270"/>
      <c r="N5" s="270"/>
      <c r="O5" s="270"/>
      <c r="P5" s="267"/>
      <c r="Q5" s="267"/>
      <c r="R5" s="267"/>
      <c r="S5" s="279"/>
      <c r="T5" s="280"/>
      <c r="U5" s="280"/>
      <c r="V5" s="162" cm="1">
        <f t="array" ref="V5:V17">_xlfn._xlws.FILTER(
    _xlfn.SEQUENCE(AT7-AR7+1,,AR7),
    IF(
        AU5="Weekend",
        WEEKDAY(_xlfn.SEQUENCE(AT7-AR7+1,,AR7),2)&gt;5,
        IF(
            AU5="Weekday",
            WEEKDAY(_xlfn.SEQUENCE(AT7-AR7+1,,AR7),2)&lt;6,
            IF(
                AU5="Evening",
                WEEKDAY(_xlfn.SEQUENCE(AT7-AR7+1,,AR7),2)&lt;=4,
                TRUE
            )
        )
    )
)</f>
        <v>46130</v>
      </c>
      <c r="W5" s="269"/>
      <c r="X5" s="270"/>
      <c r="Y5" s="270"/>
      <c r="Z5" s="270"/>
      <c r="AA5" s="270"/>
      <c r="AB5" s="270"/>
      <c r="AC5" s="270"/>
      <c r="AD5" s="270"/>
      <c r="AE5" s="270"/>
      <c r="AF5" s="270"/>
      <c r="AG5" s="270"/>
      <c r="AH5" s="270"/>
      <c r="AI5" s="270"/>
      <c r="AJ5" s="270"/>
      <c r="AK5" s="271"/>
      <c r="AL5" s="271"/>
      <c r="AM5" s="272"/>
      <c r="AN5" s="274"/>
      <c r="AO5" s="274"/>
      <c r="AP5" s="274"/>
      <c r="AR5" s="144">
        <v>46082</v>
      </c>
      <c r="AS5" s="80" t="s">
        <v>1284</v>
      </c>
      <c r="AT5" s="144">
        <v>46124</v>
      </c>
      <c r="AU5" s="150" t="s">
        <v>1128</v>
      </c>
    </row>
    <row r="6" spans="1:64" ht="36" customHeight="1" x14ac:dyDescent="0.25">
      <c r="A6" s="78">
        <v>46088</v>
      </c>
      <c r="B6" s="160"/>
      <c r="C6" s="161"/>
      <c r="D6" s="161"/>
      <c r="E6" s="161"/>
      <c r="F6" s="161"/>
      <c r="G6" s="161"/>
      <c r="H6" s="161"/>
      <c r="I6" s="161"/>
      <c r="J6" s="161"/>
      <c r="K6" s="161"/>
      <c r="L6" s="161"/>
      <c r="M6" s="161"/>
      <c r="N6" s="161"/>
      <c r="O6" s="161"/>
      <c r="P6" s="267"/>
      <c r="Q6" s="267"/>
      <c r="R6" s="267"/>
      <c r="S6" s="265"/>
      <c r="T6" s="266"/>
      <c r="U6" s="266"/>
      <c r="V6" s="78">
        <v>46131</v>
      </c>
      <c r="W6" s="269"/>
      <c r="X6" s="270"/>
      <c r="Y6" s="270"/>
      <c r="Z6" s="270"/>
      <c r="AA6" s="270"/>
      <c r="AB6" s="270"/>
      <c r="AC6" s="270"/>
      <c r="AD6" s="270"/>
      <c r="AE6" s="270"/>
      <c r="AF6" s="270"/>
      <c r="AG6" s="270"/>
      <c r="AH6" s="270"/>
      <c r="AI6" s="270"/>
      <c r="AJ6" s="270"/>
      <c r="AK6" s="271"/>
      <c r="AL6" s="271"/>
      <c r="AM6" s="272"/>
      <c r="AN6" s="268"/>
      <c r="AO6" s="268"/>
      <c r="AP6" s="268"/>
    </row>
    <row r="7" spans="1:64" ht="36" customHeight="1" x14ac:dyDescent="0.25">
      <c r="A7" s="78">
        <v>46089</v>
      </c>
      <c r="B7" s="160"/>
      <c r="C7" s="161"/>
      <c r="D7" s="161"/>
      <c r="E7" s="161"/>
      <c r="F7" s="161"/>
      <c r="G7" s="161"/>
      <c r="H7" s="161"/>
      <c r="I7" s="161"/>
      <c r="J7" s="161"/>
      <c r="K7" s="161"/>
      <c r="L7" s="161"/>
      <c r="M7" s="161"/>
      <c r="N7" s="161"/>
      <c r="O7" s="161"/>
      <c r="P7" s="267"/>
      <c r="Q7" s="267"/>
      <c r="R7" s="267"/>
      <c r="S7" s="265"/>
      <c r="T7" s="266"/>
      <c r="U7" s="266"/>
      <c r="V7" s="78">
        <v>46137</v>
      </c>
      <c r="W7" s="269"/>
      <c r="X7" s="270"/>
      <c r="Y7" s="270"/>
      <c r="Z7" s="270"/>
      <c r="AA7" s="270"/>
      <c r="AB7" s="270"/>
      <c r="AC7" s="270"/>
      <c r="AD7" s="270"/>
      <c r="AE7" s="270"/>
      <c r="AF7" s="270"/>
      <c r="AG7" s="270"/>
      <c r="AH7" s="270"/>
      <c r="AI7" s="270"/>
      <c r="AJ7" s="270"/>
      <c r="AK7" s="271"/>
      <c r="AL7" s="271"/>
      <c r="AM7" s="272"/>
      <c r="AN7" s="268"/>
      <c r="AO7" s="268"/>
      <c r="AP7" s="268"/>
      <c r="AR7" s="144">
        <v>46125</v>
      </c>
      <c r="AS7" s="80" t="s">
        <v>1284</v>
      </c>
      <c r="AT7" s="144">
        <v>46172</v>
      </c>
      <c r="AU7" s="150" t="s">
        <v>1128</v>
      </c>
    </row>
    <row r="8" spans="1:64" ht="36" customHeight="1" x14ac:dyDescent="0.25">
      <c r="A8" s="78">
        <v>46095</v>
      </c>
      <c r="B8" s="160"/>
      <c r="C8" s="161"/>
      <c r="D8" s="161"/>
      <c r="E8" s="161"/>
      <c r="F8" s="161"/>
      <c r="G8" s="161"/>
      <c r="H8" s="161"/>
      <c r="I8" s="161"/>
      <c r="J8" s="161"/>
      <c r="K8" s="161"/>
      <c r="L8" s="161"/>
      <c r="M8" s="161"/>
      <c r="N8" s="161"/>
      <c r="O8" s="161"/>
      <c r="P8" s="267"/>
      <c r="Q8" s="267"/>
      <c r="R8" s="267"/>
      <c r="S8" s="265"/>
      <c r="T8" s="266"/>
      <c r="U8" s="266"/>
      <c r="V8" s="78">
        <v>46138</v>
      </c>
      <c r="W8" s="269"/>
      <c r="X8" s="270"/>
      <c r="Y8" s="270"/>
      <c r="Z8" s="270"/>
      <c r="AA8" s="270"/>
      <c r="AB8" s="270"/>
      <c r="AC8" s="270"/>
      <c r="AD8" s="270"/>
      <c r="AE8" s="270"/>
      <c r="AF8" s="270"/>
      <c r="AG8" s="270"/>
      <c r="AH8" s="270"/>
      <c r="AI8" s="270"/>
      <c r="AJ8" s="270"/>
      <c r="AK8" s="271"/>
      <c r="AL8" s="271"/>
      <c r="AM8" s="272"/>
      <c r="AN8" s="268"/>
      <c r="AO8" s="268"/>
      <c r="AP8" s="268"/>
    </row>
    <row r="9" spans="1:64" ht="36" customHeight="1" x14ac:dyDescent="0.25">
      <c r="A9" s="78">
        <v>46096</v>
      </c>
      <c r="B9" s="160"/>
      <c r="C9" s="161"/>
      <c r="D9" s="161"/>
      <c r="E9" s="161"/>
      <c r="F9" s="161"/>
      <c r="G9" s="161"/>
      <c r="H9" s="161"/>
      <c r="I9" s="161"/>
      <c r="J9" s="161"/>
      <c r="K9" s="161"/>
      <c r="L9" s="161"/>
      <c r="M9" s="161"/>
      <c r="N9" s="161"/>
      <c r="O9" s="161"/>
      <c r="P9" s="267"/>
      <c r="Q9" s="267"/>
      <c r="R9" s="267"/>
      <c r="S9" s="265"/>
      <c r="T9" s="266"/>
      <c r="U9" s="266"/>
      <c r="V9" s="78">
        <v>46144</v>
      </c>
      <c r="W9" s="269"/>
      <c r="X9" s="270"/>
      <c r="Y9" s="270"/>
      <c r="Z9" s="270"/>
      <c r="AA9" s="270"/>
      <c r="AB9" s="270"/>
      <c r="AC9" s="270"/>
      <c r="AD9" s="270"/>
      <c r="AE9" s="270"/>
      <c r="AF9" s="270"/>
      <c r="AG9" s="270"/>
      <c r="AH9" s="270"/>
      <c r="AI9" s="270"/>
      <c r="AJ9" s="270"/>
      <c r="AK9" s="271"/>
      <c r="AL9" s="271"/>
      <c r="AM9" s="272"/>
      <c r="AN9" s="268"/>
      <c r="AO9" s="268"/>
      <c r="AP9" s="268"/>
    </row>
    <row r="10" spans="1:64" ht="36" customHeight="1" x14ac:dyDescent="0.25">
      <c r="A10" s="78">
        <v>46102</v>
      </c>
      <c r="B10" s="160"/>
      <c r="C10" s="161"/>
      <c r="D10" s="161"/>
      <c r="E10" s="161"/>
      <c r="F10" s="161"/>
      <c r="G10" s="161"/>
      <c r="H10" s="161"/>
      <c r="I10" s="161"/>
      <c r="J10" s="161"/>
      <c r="K10" s="161"/>
      <c r="L10" s="161"/>
      <c r="M10" s="161"/>
      <c r="N10" s="161"/>
      <c r="O10" s="161"/>
      <c r="P10" s="267"/>
      <c r="Q10" s="267"/>
      <c r="R10" s="267"/>
      <c r="S10" s="265"/>
      <c r="T10" s="266"/>
      <c r="U10" s="266"/>
      <c r="V10" s="78">
        <v>46145</v>
      </c>
      <c r="W10" s="269"/>
      <c r="X10" s="270"/>
      <c r="Y10" s="270"/>
      <c r="Z10" s="270"/>
      <c r="AA10" s="270"/>
      <c r="AB10" s="270"/>
      <c r="AC10" s="270"/>
      <c r="AD10" s="270"/>
      <c r="AE10" s="270"/>
      <c r="AF10" s="270"/>
      <c r="AG10" s="270"/>
      <c r="AH10" s="270"/>
      <c r="AI10" s="270"/>
      <c r="AJ10" s="270"/>
      <c r="AK10" s="271"/>
      <c r="AL10" s="271"/>
      <c r="AM10" s="272"/>
      <c r="AN10" s="268"/>
      <c r="AO10" s="268"/>
      <c r="AP10" s="268"/>
    </row>
    <row r="11" spans="1:64" ht="36" customHeight="1" x14ac:dyDescent="0.25">
      <c r="A11" s="78">
        <v>46103</v>
      </c>
      <c r="B11" s="160"/>
      <c r="C11" s="161"/>
      <c r="D11" s="161"/>
      <c r="E11" s="161"/>
      <c r="F11" s="161"/>
      <c r="G11" s="161"/>
      <c r="H11" s="161"/>
      <c r="I11" s="161"/>
      <c r="J11" s="161"/>
      <c r="K11" s="161"/>
      <c r="L11" s="161"/>
      <c r="M11" s="161"/>
      <c r="N11" s="161"/>
      <c r="O11" s="161"/>
      <c r="P11" s="267"/>
      <c r="Q11" s="267"/>
      <c r="R11" s="267"/>
      <c r="S11" s="265"/>
      <c r="T11" s="266"/>
      <c r="U11" s="266"/>
      <c r="V11" s="78">
        <v>46151</v>
      </c>
      <c r="W11" s="269"/>
      <c r="X11" s="270"/>
      <c r="Y11" s="270"/>
      <c r="Z11" s="270"/>
      <c r="AA11" s="270"/>
      <c r="AB11" s="270"/>
      <c r="AC11" s="270"/>
      <c r="AD11" s="270"/>
      <c r="AE11" s="270"/>
      <c r="AF11" s="270"/>
      <c r="AG11" s="270"/>
      <c r="AH11" s="270"/>
      <c r="AI11" s="270"/>
      <c r="AJ11" s="270"/>
      <c r="AK11" s="271"/>
      <c r="AL11" s="271"/>
      <c r="AM11" s="272"/>
      <c r="AN11" s="268"/>
      <c r="AO11" s="268"/>
      <c r="AP11" s="268"/>
    </row>
    <row r="12" spans="1:64" ht="36" customHeight="1" x14ac:dyDescent="0.25">
      <c r="A12" s="78">
        <v>46109</v>
      </c>
      <c r="B12" s="160"/>
      <c r="C12" s="161"/>
      <c r="D12" s="161"/>
      <c r="E12" s="161"/>
      <c r="F12" s="161"/>
      <c r="G12" s="161"/>
      <c r="H12" s="161"/>
      <c r="I12" s="161"/>
      <c r="J12" s="161"/>
      <c r="K12" s="161"/>
      <c r="L12" s="161"/>
      <c r="M12" s="161"/>
      <c r="N12" s="161"/>
      <c r="O12" s="161"/>
      <c r="P12" s="267"/>
      <c r="Q12" s="267"/>
      <c r="R12" s="267"/>
      <c r="S12" s="265"/>
      <c r="T12" s="266"/>
      <c r="U12" s="266"/>
      <c r="V12" s="78">
        <v>46152</v>
      </c>
      <c r="W12" s="269"/>
      <c r="X12" s="270"/>
      <c r="Y12" s="270"/>
      <c r="Z12" s="270"/>
      <c r="AA12" s="270"/>
      <c r="AB12" s="270"/>
      <c r="AC12" s="270"/>
      <c r="AD12" s="270"/>
      <c r="AE12" s="270"/>
      <c r="AF12" s="270"/>
      <c r="AG12" s="270"/>
      <c r="AH12" s="270"/>
      <c r="AI12" s="270"/>
      <c r="AJ12" s="270"/>
      <c r="AK12" s="271"/>
      <c r="AL12" s="271"/>
      <c r="AM12" s="272"/>
      <c r="AN12" s="268"/>
      <c r="AO12" s="268"/>
      <c r="AP12" s="268"/>
    </row>
    <row r="13" spans="1:64" ht="36" customHeight="1" x14ac:dyDescent="0.25">
      <c r="A13" s="78">
        <v>46110</v>
      </c>
      <c r="B13" s="160"/>
      <c r="C13" s="161"/>
      <c r="D13" s="161"/>
      <c r="E13" s="161"/>
      <c r="F13" s="161"/>
      <c r="G13" s="161"/>
      <c r="H13" s="161"/>
      <c r="I13" s="161"/>
      <c r="J13" s="161"/>
      <c r="K13" s="161"/>
      <c r="L13" s="161"/>
      <c r="M13" s="161"/>
      <c r="N13" s="161"/>
      <c r="O13" s="161"/>
      <c r="P13" s="267"/>
      <c r="Q13" s="267"/>
      <c r="R13" s="267"/>
      <c r="S13" s="265"/>
      <c r="T13" s="266"/>
      <c r="U13" s="266"/>
      <c r="V13" s="78">
        <v>46158</v>
      </c>
      <c r="W13" s="269"/>
      <c r="X13" s="270"/>
      <c r="Y13" s="270"/>
      <c r="Z13" s="270"/>
      <c r="AA13" s="270"/>
      <c r="AB13" s="270"/>
      <c r="AC13" s="270"/>
      <c r="AD13" s="270"/>
      <c r="AE13" s="270"/>
      <c r="AF13" s="270"/>
      <c r="AG13" s="270"/>
      <c r="AH13" s="270"/>
      <c r="AI13" s="270"/>
      <c r="AJ13" s="270"/>
      <c r="AK13" s="271"/>
      <c r="AL13" s="271"/>
      <c r="AM13" s="272"/>
      <c r="AN13" s="268"/>
      <c r="AO13" s="268"/>
      <c r="AP13" s="268"/>
    </row>
    <row r="14" spans="1:64" ht="36" customHeight="1" x14ac:dyDescent="0.25">
      <c r="A14" s="78">
        <v>46116</v>
      </c>
      <c r="B14" s="160"/>
      <c r="C14" s="161"/>
      <c r="D14" s="161"/>
      <c r="E14" s="161"/>
      <c r="F14" s="161"/>
      <c r="G14" s="161"/>
      <c r="H14" s="161"/>
      <c r="I14" s="161"/>
      <c r="J14" s="161"/>
      <c r="K14" s="161"/>
      <c r="L14" s="161"/>
      <c r="M14" s="161"/>
      <c r="N14" s="161"/>
      <c r="O14" s="161"/>
      <c r="P14" s="267"/>
      <c r="Q14" s="267"/>
      <c r="R14" s="267"/>
      <c r="S14" s="265"/>
      <c r="T14" s="266"/>
      <c r="U14" s="266"/>
      <c r="V14" s="78">
        <v>46159</v>
      </c>
      <c r="W14" s="269"/>
      <c r="X14" s="270"/>
      <c r="Y14" s="270"/>
      <c r="Z14" s="270"/>
      <c r="AA14" s="270"/>
      <c r="AB14" s="270"/>
      <c r="AC14" s="270"/>
      <c r="AD14" s="270"/>
      <c r="AE14" s="270"/>
      <c r="AF14" s="270"/>
      <c r="AG14" s="270"/>
      <c r="AH14" s="270"/>
      <c r="AI14" s="270"/>
      <c r="AJ14" s="270"/>
      <c r="AK14" s="271"/>
      <c r="AL14" s="271"/>
      <c r="AM14" s="272"/>
      <c r="AN14" s="268"/>
      <c r="AO14" s="268"/>
      <c r="AP14" s="268"/>
    </row>
    <row r="15" spans="1:64" ht="36" customHeight="1" x14ac:dyDescent="0.25">
      <c r="A15" s="78">
        <v>46117</v>
      </c>
      <c r="B15" s="160"/>
      <c r="C15" s="161"/>
      <c r="D15" s="161"/>
      <c r="E15" s="161"/>
      <c r="F15" s="161"/>
      <c r="G15" s="161"/>
      <c r="H15" s="161"/>
      <c r="I15" s="161"/>
      <c r="J15" s="161"/>
      <c r="K15" s="161"/>
      <c r="L15" s="161"/>
      <c r="M15" s="161"/>
      <c r="N15" s="161"/>
      <c r="O15" s="161"/>
      <c r="P15" s="267"/>
      <c r="Q15" s="267"/>
      <c r="R15" s="267"/>
      <c r="S15" s="265"/>
      <c r="T15" s="266"/>
      <c r="U15" s="266"/>
      <c r="V15" s="78">
        <v>46165</v>
      </c>
      <c r="W15" s="269"/>
      <c r="X15" s="270"/>
      <c r="Y15" s="270"/>
      <c r="Z15" s="270"/>
      <c r="AA15" s="270"/>
      <c r="AB15" s="270"/>
      <c r="AC15" s="270"/>
      <c r="AD15" s="270"/>
      <c r="AE15" s="270"/>
      <c r="AF15" s="270"/>
      <c r="AG15" s="270"/>
      <c r="AH15" s="270"/>
      <c r="AI15" s="270"/>
      <c r="AJ15" s="270"/>
      <c r="AK15" s="271"/>
      <c r="AL15" s="271"/>
      <c r="AM15" s="272"/>
      <c r="AN15" s="268"/>
      <c r="AO15" s="268"/>
      <c r="AP15" s="268"/>
    </row>
    <row r="16" spans="1:64" ht="36" customHeight="1" x14ac:dyDescent="0.25">
      <c r="A16" s="78">
        <v>46123</v>
      </c>
      <c r="B16" s="160"/>
      <c r="C16" s="161"/>
      <c r="D16" s="161"/>
      <c r="E16" s="161"/>
      <c r="F16" s="161"/>
      <c r="G16" s="161"/>
      <c r="H16" s="161"/>
      <c r="I16" s="161"/>
      <c r="J16" s="161"/>
      <c r="K16" s="161"/>
      <c r="L16" s="161"/>
      <c r="M16" s="161"/>
      <c r="N16" s="161"/>
      <c r="O16" s="161"/>
      <c r="P16" s="267"/>
      <c r="Q16" s="267"/>
      <c r="R16" s="267"/>
      <c r="S16" s="265"/>
      <c r="T16" s="266"/>
      <c r="U16" s="266"/>
      <c r="V16" s="78">
        <v>46166</v>
      </c>
      <c r="W16" s="269"/>
      <c r="X16" s="270"/>
      <c r="Y16" s="270"/>
      <c r="Z16" s="270"/>
      <c r="AA16" s="270"/>
      <c r="AB16" s="270"/>
      <c r="AC16" s="270"/>
      <c r="AD16" s="270"/>
      <c r="AE16" s="270"/>
      <c r="AF16" s="270"/>
      <c r="AG16" s="270"/>
      <c r="AH16" s="270"/>
      <c r="AI16" s="270"/>
      <c r="AJ16" s="270"/>
      <c r="AK16" s="271"/>
      <c r="AL16" s="271"/>
      <c r="AM16" s="272"/>
      <c r="AN16" s="268"/>
      <c r="AO16" s="268"/>
      <c r="AP16" s="268"/>
    </row>
    <row r="17" spans="1:42" ht="36" customHeight="1" x14ac:dyDescent="0.25">
      <c r="A17" s="78">
        <v>46124</v>
      </c>
      <c r="B17" s="160"/>
      <c r="C17" s="161"/>
      <c r="D17" s="161"/>
      <c r="E17" s="161"/>
      <c r="F17" s="161"/>
      <c r="G17" s="161"/>
      <c r="H17" s="161"/>
      <c r="I17" s="161"/>
      <c r="J17" s="161"/>
      <c r="K17" s="161"/>
      <c r="L17" s="161"/>
      <c r="M17" s="161"/>
      <c r="N17" s="161"/>
      <c r="O17" s="161"/>
      <c r="P17" s="267"/>
      <c r="Q17" s="267"/>
      <c r="R17" s="267"/>
      <c r="S17" s="265"/>
      <c r="T17" s="266"/>
      <c r="U17" s="266"/>
      <c r="V17" s="78">
        <v>46172</v>
      </c>
      <c r="W17" s="269"/>
      <c r="X17" s="270"/>
      <c r="Y17" s="270"/>
      <c r="Z17" s="270"/>
      <c r="AA17" s="270"/>
      <c r="AB17" s="270"/>
      <c r="AC17" s="270"/>
      <c r="AD17" s="270"/>
      <c r="AE17" s="270"/>
      <c r="AF17" s="270"/>
      <c r="AG17" s="270"/>
      <c r="AH17" s="270"/>
      <c r="AI17" s="270"/>
      <c r="AJ17" s="270"/>
      <c r="AK17" s="271"/>
      <c r="AL17" s="271"/>
      <c r="AM17" s="272"/>
      <c r="AN17" s="268"/>
      <c r="AO17" s="268"/>
      <c r="AP17" s="268"/>
    </row>
  </sheetData>
  <mergeCells count="74">
    <mergeCell ref="P15:R15"/>
    <mergeCell ref="P16:R16"/>
    <mergeCell ref="P17:R17"/>
    <mergeCell ref="W5:AJ5"/>
    <mergeCell ref="AK5:AM5"/>
    <mergeCell ref="AK6:AM6"/>
    <mergeCell ref="AK7:AM7"/>
    <mergeCell ref="AK8:AM8"/>
    <mergeCell ref="AK9:AM9"/>
    <mergeCell ref="P9:R9"/>
    <mergeCell ref="P10:R10"/>
    <mergeCell ref="P11:R11"/>
    <mergeCell ref="P12:R12"/>
    <mergeCell ref="P13:R13"/>
    <mergeCell ref="P14:R14"/>
    <mergeCell ref="P8:R8"/>
    <mergeCell ref="B4:H4"/>
    <mergeCell ref="I4:O4"/>
    <mergeCell ref="W4:AC4"/>
    <mergeCell ref="AD4:AJ4"/>
    <mergeCell ref="B5:O5"/>
    <mergeCell ref="P4:R4"/>
    <mergeCell ref="P5:R5"/>
    <mergeCell ref="S5:U5"/>
    <mergeCell ref="AN4:AP4"/>
    <mergeCell ref="S4:U4"/>
    <mergeCell ref="AN5:AP5"/>
    <mergeCell ref="AK4:AM4"/>
    <mergeCell ref="AN6:AP6"/>
    <mergeCell ref="S6:U6"/>
    <mergeCell ref="W6:AJ6"/>
    <mergeCell ref="S12:U12"/>
    <mergeCell ref="S13:U13"/>
    <mergeCell ref="AN12:AP12"/>
    <mergeCell ref="AN13:AP13"/>
    <mergeCell ref="S10:U10"/>
    <mergeCell ref="S11:U11"/>
    <mergeCell ref="W11:AJ11"/>
    <mergeCell ref="W12:AJ12"/>
    <mergeCell ref="W13:AJ13"/>
    <mergeCell ref="AK10:AM10"/>
    <mergeCell ref="AK11:AM11"/>
    <mergeCell ref="AK12:AM12"/>
    <mergeCell ref="AK13:AM13"/>
    <mergeCell ref="W10:AJ10"/>
    <mergeCell ref="S16:U16"/>
    <mergeCell ref="S17:U17"/>
    <mergeCell ref="AN16:AP16"/>
    <mergeCell ref="AN17:AP17"/>
    <mergeCell ref="S14:U14"/>
    <mergeCell ref="S15:U15"/>
    <mergeCell ref="AN14:AP14"/>
    <mergeCell ref="AN15:AP15"/>
    <mergeCell ref="W14:AJ14"/>
    <mergeCell ref="W15:AJ15"/>
    <mergeCell ref="W16:AJ16"/>
    <mergeCell ref="W17:AJ17"/>
    <mergeCell ref="AK16:AM16"/>
    <mergeCell ref="AK17:AM17"/>
    <mergeCell ref="AK14:AM14"/>
    <mergeCell ref="AK15:AM15"/>
    <mergeCell ref="S7:U7"/>
    <mergeCell ref="P6:R6"/>
    <mergeCell ref="P7:R7"/>
    <mergeCell ref="AN10:AP10"/>
    <mergeCell ref="AN11:AP11"/>
    <mergeCell ref="S8:U8"/>
    <mergeCell ref="S9:U9"/>
    <mergeCell ref="AN9:AP9"/>
    <mergeCell ref="AN7:AP7"/>
    <mergeCell ref="AN8:AP8"/>
    <mergeCell ref="W7:AJ7"/>
    <mergeCell ref="W8:AJ8"/>
    <mergeCell ref="W9:AJ9"/>
  </mergeCells>
  <printOptions horizontalCentered="1"/>
  <pageMargins left="0.25" right="0.25" top="0.5" bottom="0.25" header="0.25" footer="0.25"/>
  <pageSetup fitToWidth="0" fitToHeight="0" orientation="landscape"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750269A-204F-48F9-96F0-37FB83F2E34C}">
          <x14:formula1>
            <xm:f>settings!$H$1:$H$5</xm:f>
          </x14:formula1>
          <xm:sqref>AU5 AU7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13</vt:i4>
      </vt:variant>
    </vt:vector>
  </HeadingPairs>
  <TitlesOfParts>
    <vt:vector size="31" baseType="lpstr">
      <vt:lpstr>tasks</vt:lpstr>
      <vt:lpstr>Detail1</vt:lpstr>
      <vt:lpstr>Detail2</vt:lpstr>
      <vt:lpstr>dashboard</vt:lpstr>
      <vt:lpstr>studentdata</vt:lpstr>
      <vt:lpstr>attendance</vt:lpstr>
      <vt:lpstr>Sheet1</vt:lpstr>
      <vt:lpstr>settings</vt:lpstr>
      <vt:lpstr>reportcard template</vt:lpstr>
      <vt:lpstr>Summer+Wknd complete letter</vt:lpstr>
      <vt:lpstr>letter template</vt:lpstr>
      <vt:lpstr>progress report</vt:lpstr>
      <vt:lpstr>progress report cover</vt:lpstr>
      <vt:lpstr>outputs</vt:lpstr>
      <vt:lpstr>Status Check</vt:lpstr>
      <vt:lpstr>Exam Scoreboard</vt:lpstr>
      <vt:lpstr>Certificate Print</vt:lpstr>
      <vt:lpstr>progress report (2)</vt:lpstr>
      <vt:lpstr>'Certificate Print'!Print_Area</vt:lpstr>
      <vt:lpstr>'letter template'!Print_Area</vt:lpstr>
      <vt:lpstr>'progress report'!Print_Area</vt:lpstr>
      <vt:lpstr>'progress report (2)'!Print_Area</vt:lpstr>
      <vt:lpstr>'progress report cover'!Print_Area</vt:lpstr>
      <vt:lpstr>'reportcard template'!Print_Area</vt:lpstr>
      <vt:lpstr>'Summer+Wknd complete letter'!Print_Area</vt:lpstr>
      <vt:lpstr>'Certificate Print'!Print_Titles</vt:lpstr>
      <vt:lpstr>'Exam Scoreboard'!Print_Titles</vt:lpstr>
      <vt:lpstr>'progress report'!Print_Titles</vt:lpstr>
      <vt:lpstr>'progress report (2)'!Print_Titles</vt:lpstr>
      <vt:lpstr>'Status Check'!Print_Titles</vt:lpstr>
      <vt:lpstr>studentdata!Print_Titles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Islamic center Of Warren</cp:lastModifiedBy>
  <cp:revision/>
  <cp:lastPrinted>2026-05-10T13:49:01Z</cp:lastPrinted>
  <dcterms:created xsi:type="dcterms:W3CDTF">2025-06-19T19:40:20Z</dcterms:created>
  <dcterms:modified xsi:type="dcterms:W3CDTF">2026-05-10T13:57:48Z</dcterms:modified>
  <cp:category/>
  <cp:contentStatus/>
</cp:coreProperties>
</file>